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52FE9361-8454-4931-81CC-A657E5CCDB66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Dataset!$H$1:$H$424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18" l="1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2" i="19" a="1"/>
  <c r="C22" i="19" s="1"/>
  <c r="B16" i="16" a="1"/>
  <c r="B16" i="16" s="1"/>
  <c r="F16" i="16" a="1"/>
  <c r="F16" i="16" s="1"/>
  <c r="E16" i="16" a="1"/>
  <c r="E16" i="16" s="1"/>
  <c r="D16" i="16" a="1"/>
  <c r="D16" i="16" s="1"/>
  <c r="C16" i="16" a="1"/>
  <c r="C16" i="16" s="1"/>
  <c r="C5" i="15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<sst xmlns="http://schemas.openxmlformats.org/spreadsheetml/2006/main" count="327" uniqueCount="183">
  <si>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</si>
  <si>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</si>
  <si>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</si>
  <si>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</si>
  <si>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</si>
  <si>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</si>
  <si>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</si>
  <si>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</si>
  <si>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</si>
  <si>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</si>
  <si>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</si>
  <si>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</si>
  <si>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</si>
  <si>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</si>
  <si>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</si>
  <si>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</si>
  <si>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</si>
  <si>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</si>
  <si>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</si>
  <si>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</si>
  <si>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</si>
  <si>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</si>
  <si>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</si>
  <si>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</si>
  <si>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</si>
  <si>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</si>
  <si>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</si>
  <si>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</si>
  <si>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</si>
  <si>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</si>
  <si>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</si>
  <si>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</si>
  <si>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</si>
  <si>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</si>
  <si>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</si>
  <si>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</si>
  <si>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</si>
  <si>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</si>
  <si>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</si>
  <si>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</si>
  <si>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</si>
  <si>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</si>
  <si>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</si>
  <si>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</si>
  <si>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</si>
  <si>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</si>
  <si>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</si>
  <si>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</si>
  <si>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</si>
  <si>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</si>
  <si>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</si>
  <si>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</si>
  <si>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</si>
  <si>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</si>
  <si>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</si>
  <si>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</si>
  <si>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</si>
  <si>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</si>
  <si>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</si>
  <si>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</si>
  <si>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</si>
  <si>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</si>
  <si>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</si>
  <si>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</si>
  <si>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</si>
  <si>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</si>
  <si>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</si>
  <si>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</si>
  <si>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</si>
  <si>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</si>
  <si>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</si>
  <si>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</si>
  <si>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</si>
  <si>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</si>
  <si>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</si>
  <si>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</si>
  <si>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</si>
  <si>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</si>
  <si>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</si>
  <si>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</si>
  <si>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</si>
  <si>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</si>
  <si>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</si>
  <si>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</si>
  <si>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</si>
  <si>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</si>
  <si>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</si>
  <si>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</si>
  <si>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</si>
  <si>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</si>
  <si>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</si>
  <si>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</si>
  <si>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</si>
  <si>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</si>
  <si>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</si>
  <si>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</si>
  <si>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</si>
  <si>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</si>
  <si>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</si>
  <si>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</si>
  <si>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</si>
  <si>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</si>
  <si>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</si>
  <si>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</si>
  <si>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</si>
  <si>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</si>
  <si>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</si>
  <si>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</si>
  <si>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</si>
  <si>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</si>
  <si>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</si>
  <si>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</si>
  <si>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</si>
  <si>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</si>
  <si>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</si>
  <si>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</si>
  <si>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</si>
  <si>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</si>
  <si>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</si>
  <si>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</si>
  <si>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</si>
  <si>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</si>
  <si>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</si>
  <si>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</si>
  <si>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</si>
  <si>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</si>
  <si>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</si>
  <si>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</si>
  <si>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</si>
  <si>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</si>
  <si>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</si>
  <si>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</si>
  <si>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</si>
  <si>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</si>
  <si>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</si>
  <si>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</si>
  <si>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</si>
  <si>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</si>
  <si>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</si>
  <si>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</si>
  <si>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</si>
  <si>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</si>
  <si>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</si>
  <si>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</si>
  <si>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</si>
  <si>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</si>
  <si>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</si>
  <si>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</si>
  <si>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</si>
  <si>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</si>
  <si>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</si>
  <si>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</si>
  <si>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</si>
  <si>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</si>
  <si>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</si>
  <si>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</si>
  <si>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</si>
  <si>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</si>
  <si>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</si>
  <si>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</si>
  <si>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</si>
  <si>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</si>
  <si>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</si>
  <si>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</si>
  <si>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</si>
  <si>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</si>
  <si>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</si>
  <si>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</si>
  <si>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</si>
  <si>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</si>
  <si>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</si>
  <si>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</si>
  <si>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</si>
  <si>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</si>
  <si>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</si>
  <si>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</si>
  <si>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</si>
  <si>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Left, MID, Right, Find functions used to split data</t>
  </si>
  <si>
    <r>
      <t xml:space="preserve">Splitted string into distinct cells using formulas like </t>
    </r>
    <r>
      <rPr>
        <sz val="8.75"/>
        <color theme="1"/>
        <rFont val="Courier New"/>
        <family val="3"/>
      </rPr>
      <t>LEFT</t>
    </r>
    <r>
      <rPr>
        <sz val="10"/>
        <color theme="1"/>
        <rFont val="Segoe UI"/>
        <family val="2"/>
      </rPr>
      <t xml:space="preserve">, </t>
    </r>
    <r>
      <rPr>
        <sz val="8.75"/>
        <color theme="1"/>
        <rFont val="Courier New"/>
        <family val="3"/>
      </rPr>
      <t>MID</t>
    </r>
    <r>
      <rPr>
        <sz val="10"/>
        <color theme="1"/>
        <rFont val="Segoe UI"/>
        <family val="2"/>
      </rPr>
      <t xml:space="preserve">, </t>
    </r>
    <r>
      <rPr>
        <sz val="8.75"/>
        <color theme="1"/>
        <rFont val="Courier New"/>
        <family val="3"/>
      </rPr>
      <t>RIGHT</t>
    </r>
    <r>
      <rPr>
        <sz val="10"/>
        <color theme="1"/>
        <rFont val="Segoe UI"/>
        <family val="2"/>
      </rPr>
      <t xml:space="preserve">, and </t>
    </r>
    <r>
      <rPr>
        <sz val="8.75"/>
        <color theme="1"/>
        <rFont val="Courier New"/>
        <family val="3"/>
      </rPr>
      <t>FIND</t>
    </r>
    <r>
      <rPr>
        <sz val="10"/>
        <color theme="1"/>
        <rFont val="Segoe UI"/>
        <family val="2"/>
      </rPr>
      <t xml:space="preserve">. Assuming the string "20000-Monday-0-Sunday-24" is in cell A16. </t>
    </r>
    <r>
      <rPr>
        <b/>
        <sz val="10"/>
        <color theme="1"/>
        <rFont val="Segoe UI"/>
        <family val="2"/>
      </rPr>
      <t>For "20000"</t>
    </r>
    <r>
      <rPr>
        <sz val="10"/>
        <color theme="1"/>
        <rFont val="Segoe UI"/>
        <family val="2"/>
      </rPr>
      <t xml:space="preserve">: "20000" is always 5 characters long. </t>
    </r>
    <r>
      <rPr>
        <b/>
        <sz val="10"/>
        <color theme="1"/>
        <rFont val="Segoe UI"/>
        <family val="2"/>
      </rPr>
      <t>For "Monday"</t>
    </r>
    <r>
      <rPr>
        <sz val="10"/>
        <color theme="1"/>
        <rFont val="Segoe UI"/>
        <family val="2"/>
      </rPr>
      <t xml:space="preserve">: "Monday" comes after the first hyphen ("-") and before the second hyphen ("-"). </t>
    </r>
    <r>
      <rPr>
        <b/>
        <sz val="10"/>
        <color theme="1"/>
        <rFont val="Segoe UI"/>
        <family val="2"/>
      </rPr>
      <t>For "0"</t>
    </r>
    <r>
      <rPr>
        <sz val="10"/>
        <color theme="1"/>
        <rFont val="Segoe UI"/>
        <family val="2"/>
      </rPr>
      <t xml:space="preserve">: It's between the second and third hyphens ("-"). </t>
    </r>
    <r>
      <rPr>
        <b/>
        <sz val="10"/>
        <color theme="1"/>
        <rFont val="Segoe UI"/>
        <family val="2"/>
      </rPr>
      <t>For "Sunday"</t>
    </r>
    <r>
      <rPr>
        <sz val="10"/>
        <color theme="1"/>
        <rFont val="Segoe UI"/>
        <family val="2"/>
      </rPr>
      <t xml:space="preserve">:  "Sunday" comes after the third hyphen ("-") and before the fourth hyphen ("-"). </t>
    </r>
    <r>
      <rPr>
        <b/>
        <sz val="10"/>
        <color theme="1"/>
        <rFont val="Segoe UI"/>
        <family val="2"/>
      </rPr>
      <t>For "24"</t>
    </r>
    <r>
      <rPr>
        <sz val="10"/>
        <color theme="1"/>
        <rFont val="Segoe UI"/>
        <family val="2"/>
      </rPr>
      <t>:  "24" comes after the fourth hyphen ("-")</t>
    </r>
  </si>
  <si>
    <t>Sum, Iferror</t>
  </si>
  <si>
    <t xml:space="preserve">IFERROR function in Excel along with the SUM function is used to substitute #NA values with specified value. </t>
  </si>
  <si>
    <t xml:space="preserve"> value</t>
  </si>
  <si>
    <t>10100 from table C = A from table B and 10102 from table C = B from table B. By checking correspondence values of A:B from table A value becomes 95.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</si>
</sst>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2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8.75"/>
      <color theme="1"/>
      <name val="Courier New"/>
      <family val="3"/>
    </font>
    <font>
      <sz val="1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3" fillId="5" borderId="0" xfId="0" applyFont="1" applyFill="1"/>
    <xf numFmtId="164" fontId="3" fillId="5" borderId="0" xfId="0" applyNumberFormat="1" applyFont="1" applyFill="1"/>
    <xf numFmtId="166" fontId="7" fillId="0" borderId="0" xfId="0" applyNumberFormat="1" applyFont="1"/>
    <xf numFmtId="166" fontId="3" fillId="0" borderId="0" xfId="0" applyNumberFormat="1" applyFont="1"/>
    <xf numFmtId="166" fontId="3" fillId="5" borderId="0" xfId="0" applyNumberFormat="1" applyFont="1" applyFill="1"/>
    <xf numFmtId="0" fontId="3" fillId="0" borderId="0" xfId="0" applyFont="1" applyAlignment="1">
      <alignment wrapText="1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21" fillId="0" borderId="0" xfId="0" applyFont="1"/>
    <xf numFmtId="0" fontId="17" fillId="4" borderId="1" xfId="1" applyFont="1" applyFill="1" applyBorder="1" applyAlignment="1">
      <alignment horizontal="center"/>
    </xf>
    <xf numFmtId="0" fontId="16" fillId="0" borderId="1" xfId="0" applyFont="1" applyBorder="1"/>
    <xf numFmtId="0" fontId="12" fillId="0" borderId="1" xfId="1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5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4"/>
  <sheetViews>
    <sheetView topLeftCell="J1" zoomScaleNormal="100" workbookViewId="0">
      <pane ySplit="1" topLeftCell="A2" activePane="bottomLeft" state="frozen"/>
      <selection pane="bottomLeft" activeCell="V1" sqref="V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s="42" customFormat="1" x14ac:dyDescent="0.3">
      <c r="D41" s="43"/>
      <c r="F41" s="43"/>
      <c r="H41" s="42">
        <f>SUMIF(H2:H40, "&gt;20")</f>
        <v>1473.0000000000002</v>
      </c>
      <c r="X41" s="46"/>
    </row>
    <row r="42" spans="1:24" s="42" customFormat="1" x14ac:dyDescent="0.3">
      <c r="D42" s="43"/>
      <c r="F42" s="43"/>
      <c r="X42" s="46"/>
    </row>
    <row r="43" spans="1:24" s="42" customFormat="1" x14ac:dyDescent="0.3">
      <c r="D43" s="43"/>
      <c r="F43" s="43"/>
      <c r="X43" s="46"/>
    </row>
    <row r="44" spans="1:24" s="42" customFormat="1" x14ac:dyDescent="0.3">
      <c r="D44" s="43"/>
      <c r="F44" s="43"/>
      <c r="X44" s="46"/>
    </row>
    <row r="45" spans="1:24" s="42" customFormat="1" x14ac:dyDescent="0.3">
      <c r="D45" s="43"/>
      <c r="F45" s="43"/>
      <c r="X45" s="46"/>
    </row>
    <row r="46" spans="1:24" s="42" customFormat="1" x14ac:dyDescent="0.3">
      <c r="D46" s="43"/>
      <c r="F46" s="43"/>
      <c r="X46" s="46"/>
    </row>
    <row r="47" spans="1:24" s="42" customFormat="1" x14ac:dyDescent="0.3">
      <c r="D47" s="43"/>
      <c r="F47" s="43"/>
      <c r="X47" s="46"/>
    </row>
    <row r="48" spans="1:24" s="42" customFormat="1" x14ac:dyDescent="0.3">
      <c r="D48" s="43"/>
      <c r="F48" s="43"/>
      <c r="X48" s="46"/>
    </row>
    <row r="49" spans="4:24" s="42" customFormat="1" x14ac:dyDescent="0.3">
      <c r="D49" s="43"/>
      <c r="F49" s="43"/>
      <c r="X49" s="46"/>
    </row>
    <row r="50" spans="4:24" s="42" customFormat="1" x14ac:dyDescent="0.3">
      <c r="D50" s="43"/>
      <c r="F50" s="43"/>
      <c r="X50" s="46"/>
    </row>
    <row r="51" spans="4:24" s="42" customFormat="1" x14ac:dyDescent="0.3">
      <c r="D51" s="43"/>
      <c r="F51" s="43"/>
      <c r="X51" s="46"/>
    </row>
    <row r="52" spans="4:24" s="42" customFormat="1" x14ac:dyDescent="0.3">
      <c r="D52" s="43"/>
      <c r="F52" s="43"/>
      <c r="X52" s="46"/>
    </row>
    <row r="53" spans="4:24" s="42" customFormat="1" x14ac:dyDescent="0.3">
      <c r="D53" s="43"/>
      <c r="F53" s="43"/>
      <c r="X53" s="46"/>
    </row>
    <row r="54" spans="4:24" s="42" customFormat="1" x14ac:dyDescent="0.3">
      <c r="D54" s="43"/>
      <c r="F54" s="43"/>
      <c r="X54" s="46"/>
    </row>
    <row r="55" spans="4:24" s="42" customFormat="1" x14ac:dyDescent="0.3">
      <c r="D55" s="43"/>
      <c r="F55" s="43"/>
      <c r="X55" s="46"/>
    </row>
    <row r="56" spans="4:24" s="42" customFormat="1" x14ac:dyDescent="0.3">
      <c r="D56" s="43"/>
      <c r="F56" s="43"/>
      <c r="X56" s="46"/>
    </row>
    <row r="57" spans="4:24" s="42" customFormat="1" x14ac:dyDescent="0.3">
      <c r="D57" s="43"/>
      <c r="F57" s="43"/>
      <c r="X57" s="46"/>
    </row>
    <row r="58" spans="4:24" s="42" customFormat="1" x14ac:dyDescent="0.3">
      <c r="D58" s="43"/>
      <c r="F58" s="43"/>
      <c r="X58" s="46"/>
    </row>
    <row r="59" spans="4:24" s="42" customFormat="1" x14ac:dyDescent="0.3">
      <c r="D59" s="43"/>
      <c r="F59" s="43"/>
      <c r="X59" s="46"/>
    </row>
    <row r="60" spans="4:24" s="42" customFormat="1" x14ac:dyDescent="0.3">
      <c r="D60" s="43"/>
      <c r="F60" s="43"/>
      <c r="X60" s="46"/>
    </row>
    <row r="61" spans="4:24" s="42" customFormat="1" x14ac:dyDescent="0.3">
      <c r="D61" s="43"/>
      <c r="F61" s="43"/>
      <c r="X61" s="46"/>
    </row>
    <row r="62" spans="4:24" s="42" customFormat="1" x14ac:dyDescent="0.3">
      <c r="D62" s="43"/>
      <c r="F62" s="43"/>
      <c r="X62" s="46"/>
    </row>
    <row r="63" spans="4:24" s="42" customFormat="1" x14ac:dyDescent="0.3">
      <c r="D63" s="43"/>
      <c r="F63" s="43"/>
      <c r="X63" s="46"/>
    </row>
    <row r="64" spans="4:24" s="42" customFormat="1" x14ac:dyDescent="0.3">
      <c r="D64" s="43"/>
      <c r="F64" s="43"/>
      <c r="X64" s="46"/>
    </row>
    <row r="65" spans="4:24" s="42" customFormat="1" x14ac:dyDescent="0.3">
      <c r="D65" s="43"/>
      <c r="F65" s="43"/>
      <c r="X65" s="46"/>
    </row>
    <row r="66" spans="4:24" s="42" customFormat="1" x14ac:dyDescent="0.3">
      <c r="D66" s="43"/>
      <c r="F66" s="43"/>
      <c r="X66" s="46"/>
    </row>
    <row r="67" spans="4:24" s="42" customFormat="1" x14ac:dyDescent="0.3">
      <c r="D67" s="43"/>
      <c r="F67" s="43"/>
      <c r="X67" s="46"/>
    </row>
    <row r="68" spans="4:24" s="42" customFormat="1" x14ac:dyDescent="0.3">
      <c r="D68" s="43"/>
      <c r="F68" s="43"/>
      <c r="X68" s="46"/>
    </row>
    <row r="69" spans="4:24" s="42" customFormat="1" x14ac:dyDescent="0.3">
      <c r="D69" s="43"/>
      <c r="F69" s="43"/>
      <c r="X69" s="46"/>
    </row>
    <row r="70" spans="4:24" s="42" customFormat="1" x14ac:dyDescent="0.3">
      <c r="D70" s="43"/>
      <c r="F70" s="43"/>
      <c r="X70" s="46"/>
    </row>
    <row r="71" spans="4:24" s="42" customFormat="1" x14ac:dyDescent="0.3">
      <c r="D71" s="43"/>
      <c r="F71" s="43"/>
      <c r="X71" s="46"/>
    </row>
    <row r="72" spans="4:24" s="42" customFormat="1" x14ac:dyDescent="0.3">
      <c r="D72" s="43"/>
      <c r="F72" s="43"/>
      <c r="X72" s="46"/>
    </row>
    <row r="73" spans="4:24" s="42" customFormat="1" x14ac:dyDescent="0.3">
      <c r="D73" s="43"/>
      <c r="F73" s="43"/>
      <c r="X73" s="46"/>
    </row>
    <row r="74" spans="4:24" s="42" customFormat="1" x14ac:dyDescent="0.3">
      <c r="D74" s="43"/>
      <c r="F74" s="43"/>
      <c r="X74" s="46"/>
    </row>
    <row r="75" spans="4:24" s="42" customFormat="1" x14ac:dyDescent="0.3">
      <c r="D75" s="43"/>
      <c r="F75" s="43"/>
      <c r="X75" s="46"/>
    </row>
    <row r="76" spans="4:24" s="42" customFormat="1" x14ac:dyDescent="0.3">
      <c r="D76" s="43"/>
      <c r="F76" s="43"/>
      <c r="X76" s="46"/>
    </row>
    <row r="77" spans="4:24" s="42" customFormat="1" x14ac:dyDescent="0.3">
      <c r="D77" s="43"/>
      <c r="F77" s="43"/>
      <c r="X77" s="46"/>
    </row>
    <row r="78" spans="4:24" s="42" customFormat="1" x14ac:dyDescent="0.3">
      <c r="D78" s="43"/>
      <c r="F78" s="43"/>
      <c r="X78" s="46"/>
    </row>
    <row r="79" spans="4:24" s="42" customFormat="1" x14ac:dyDescent="0.3">
      <c r="D79" s="43"/>
      <c r="F79" s="43"/>
      <c r="X79" s="46"/>
    </row>
    <row r="80" spans="4:24" s="42" customFormat="1" x14ac:dyDescent="0.3">
      <c r="D80" s="43"/>
      <c r="F80" s="43"/>
      <c r="X80" s="46"/>
    </row>
    <row r="81" spans="4:24" s="42" customFormat="1" x14ac:dyDescent="0.3">
      <c r="D81" s="43"/>
      <c r="F81" s="43"/>
      <c r="X81" s="46"/>
    </row>
    <row r="82" spans="4:24" s="42" customFormat="1" x14ac:dyDescent="0.3">
      <c r="D82" s="43"/>
      <c r="F82" s="43"/>
      <c r="X82" s="46"/>
    </row>
    <row r="83" spans="4:24" s="42" customFormat="1" x14ac:dyDescent="0.3">
      <c r="D83" s="43"/>
      <c r="F83" s="43"/>
      <c r="X83" s="46"/>
    </row>
    <row r="84" spans="4:24" s="42" customFormat="1" x14ac:dyDescent="0.3">
      <c r="D84" s="43"/>
      <c r="F84" s="43"/>
      <c r="X84" s="46"/>
    </row>
    <row r="85" spans="4:24" s="42" customFormat="1" x14ac:dyDescent="0.3">
      <c r="D85" s="43"/>
      <c r="F85" s="43"/>
      <c r="X85" s="46"/>
    </row>
    <row r="86" spans="4:24" s="42" customFormat="1" x14ac:dyDescent="0.3">
      <c r="D86" s="43"/>
      <c r="F86" s="43"/>
      <c r="X86" s="46"/>
    </row>
    <row r="87" spans="4:24" s="42" customFormat="1" x14ac:dyDescent="0.3">
      <c r="D87" s="43"/>
      <c r="F87" s="43"/>
      <c r="X87" s="46"/>
    </row>
    <row r="88" spans="4:24" s="42" customFormat="1" x14ac:dyDescent="0.3">
      <c r="D88" s="43"/>
      <c r="F88" s="43"/>
      <c r="X88" s="46"/>
    </row>
    <row r="89" spans="4:24" s="42" customFormat="1" x14ac:dyDescent="0.3">
      <c r="D89" s="43"/>
      <c r="F89" s="43"/>
      <c r="X89" s="46"/>
    </row>
    <row r="90" spans="4:24" s="42" customFormat="1" x14ac:dyDescent="0.3">
      <c r="D90" s="43"/>
      <c r="F90" s="43"/>
      <c r="X90" s="46"/>
    </row>
    <row r="91" spans="4:24" s="42" customFormat="1" x14ac:dyDescent="0.3">
      <c r="D91" s="43"/>
      <c r="F91" s="43"/>
      <c r="X91" s="46"/>
    </row>
    <row r="92" spans="4:24" s="42" customFormat="1" x14ac:dyDescent="0.3">
      <c r="D92" s="43"/>
      <c r="F92" s="43"/>
      <c r="X92" s="46"/>
    </row>
    <row r="93" spans="4:24" s="42" customFormat="1" x14ac:dyDescent="0.3">
      <c r="D93" s="43"/>
      <c r="F93" s="43"/>
      <c r="X93" s="46"/>
    </row>
    <row r="94" spans="4:24" s="42" customFormat="1" x14ac:dyDescent="0.3">
      <c r="D94" s="43"/>
      <c r="F94" s="43"/>
      <c r="X94" s="46"/>
    </row>
    <row r="95" spans="4:24" s="42" customFormat="1" x14ac:dyDescent="0.3">
      <c r="D95" s="43"/>
      <c r="F95" s="43"/>
      <c r="X95" s="46"/>
    </row>
    <row r="96" spans="4:24" s="42" customFormat="1" x14ac:dyDescent="0.3">
      <c r="D96" s="43"/>
      <c r="F96" s="43"/>
      <c r="X96" s="46"/>
    </row>
    <row r="97" spans="4:24" s="42" customFormat="1" x14ac:dyDescent="0.3">
      <c r="D97" s="43"/>
      <c r="F97" s="43"/>
      <c r="X97" s="46"/>
    </row>
    <row r="98" spans="4:24" s="42" customFormat="1" x14ac:dyDescent="0.3">
      <c r="D98" s="43"/>
      <c r="F98" s="43"/>
      <c r="X98" s="46"/>
    </row>
    <row r="99" spans="4:24" s="42" customFormat="1" x14ac:dyDescent="0.3">
      <c r="D99" s="43"/>
      <c r="F99" s="43"/>
      <c r="X99" s="46"/>
    </row>
    <row r="100" spans="4:24" s="42" customFormat="1" x14ac:dyDescent="0.3">
      <c r="D100" s="43"/>
      <c r="F100" s="43"/>
      <c r="X100" s="46"/>
    </row>
    <row r="101" spans="4:24" s="42" customFormat="1" x14ac:dyDescent="0.3">
      <c r="D101" s="43"/>
      <c r="F101" s="43"/>
      <c r="X101" s="46"/>
    </row>
    <row r="102" spans="4:24" s="42" customFormat="1" x14ac:dyDescent="0.3">
      <c r="D102" s="43"/>
      <c r="F102" s="43"/>
      <c r="X102" s="46"/>
    </row>
    <row r="103" spans="4:24" s="42" customFormat="1" x14ac:dyDescent="0.3">
      <c r="D103" s="43"/>
      <c r="F103" s="43"/>
      <c r="X103" s="46"/>
    </row>
    <row r="104" spans="4:24" s="42" customFormat="1" x14ac:dyDescent="0.3">
      <c r="D104" s="43"/>
      <c r="F104" s="43"/>
      <c r="X104" s="46"/>
    </row>
    <row r="105" spans="4:24" s="42" customFormat="1" x14ac:dyDescent="0.3">
      <c r="D105" s="43"/>
      <c r="F105" s="43"/>
      <c r="X105" s="46"/>
    </row>
    <row r="106" spans="4:24" s="42" customFormat="1" x14ac:dyDescent="0.3">
      <c r="D106" s="43"/>
      <c r="F106" s="43"/>
      <c r="X106" s="46"/>
    </row>
    <row r="107" spans="4:24" s="42" customFormat="1" x14ac:dyDescent="0.3">
      <c r="D107" s="43"/>
      <c r="F107" s="43"/>
      <c r="X107" s="46"/>
    </row>
    <row r="108" spans="4:24" s="42" customFormat="1" x14ac:dyDescent="0.3">
      <c r="D108" s="43"/>
      <c r="F108" s="43"/>
      <c r="X108" s="46"/>
    </row>
    <row r="109" spans="4:24" s="42" customFormat="1" x14ac:dyDescent="0.3">
      <c r="D109" s="43"/>
      <c r="F109" s="43"/>
      <c r="X109" s="46"/>
    </row>
    <row r="110" spans="4:24" s="42" customFormat="1" x14ac:dyDescent="0.3">
      <c r="D110" s="43"/>
      <c r="F110" s="43"/>
      <c r="X110" s="46"/>
    </row>
    <row r="111" spans="4:24" s="42" customFormat="1" x14ac:dyDescent="0.3">
      <c r="D111" s="43"/>
      <c r="F111" s="43"/>
      <c r="X111" s="46"/>
    </row>
    <row r="112" spans="4:24" s="42" customFormat="1" x14ac:dyDescent="0.3">
      <c r="D112" s="43"/>
      <c r="F112" s="43"/>
      <c r="X112" s="46"/>
    </row>
    <row r="113" spans="4:24" s="42" customFormat="1" x14ac:dyDescent="0.3">
      <c r="D113" s="43"/>
      <c r="F113" s="43"/>
      <c r="X113" s="46"/>
    </row>
    <row r="114" spans="4:24" s="42" customFormat="1" x14ac:dyDescent="0.3">
      <c r="D114" s="43"/>
      <c r="F114" s="43"/>
      <c r="X114" s="46"/>
    </row>
    <row r="115" spans="4:24" s="42" customFormat="1" x14ac:dyDescent="0.3">
      <c r="D115" s="43"/>
      <c r="F115" s="43"/>
      <c r="X115" s="46"/>
    </row>
    <row r="116" spans="4:24" s="42" customFormat="1" x14ac:dyDescent="0.3">
      <c r="D116" s="43"/>
      <c r="F116" s="43"/>
      <c r="X116" s="46"/>
    </row>
    <row r="117" spans="4:24" s="42" customFormat="1" x14ac:dyDescent="0.3">
      <c r="D117" s="43"/>
      <c r="F117" s="43"/>
      <c r="X117" s="46"/>
    </row>
    <row r="118" spans="4:24" s="42" customFormat="1" x14ac:dyDescent="0.3">
      <c r="D118" s="43"/>
      <c r="F118" s="43"/>
      <c r="X118" s="46"/>
    </row>
    <row r="119" spans="4:24" s="42" customFormat="1" x14ac:dyDescent="0.3">
      <c r="D119" s="43"/>
      <c r="F119" s="43"/>
      <c r="X119" s="46"/>
    </row>
    <row r="120" spans="4:24" s="42" customFormat="1" x14ac:dyDescent="0.3">
      <c r="D120" s="43"/>
      <c r="F120" s="43"/>
      <c r="X120" s="46"/>
    </row>
    <row r="121" spans="4:24" s="42" customFormat="1" x14ac:dyDescent="0.3">
      <c r="D121" s="43"/>
      <c r="F121" s="43"/>
      <c r="X121" s="46"/>
    </row>
    <row r="122" spans="4:24" s="42" customFormat="1" x14ac:dyDescent="0.3">
      <c r="D122" s="43"/>
      <c r="F122" s="43"/>
      <c r="X122" s="46"/>
    </row>
    <row r="123" spans="4:24" s="42" customFormat="1" x14ac:dyDescent="0.3">
      <c r="D123" s="43"/>
      <c r="F123" s="43"/>
      <c r="X123" s="46"/>
    </row>
    <row r="124" spans="4:24" s="42" customFormat="1" x14ac:dyDescent="0.3">
      <c r="D124" s="43"/>
      <c r="F124" s="43"/>
      <c r="X124" s="46"/>
    </row>
    <row r="125" spans="4:24" s="42" customFormat="1" x14ac:dyDescent="0.3">
      <c r="D125" s="43"/>
      <c r="F125" s="43"/>
      <c r="X125" s="46"/>
    </row>
    <row r="126" spans="4:24" s="42" customFormat="1" x14ac:dyDescent="0.3">
      <c r="D126" s="43"/>
      <c r="F126" s="43"/>
      <c r="X126" s="46"/>
    </row>
    <row r="127" spans="4:24" s="42" customFormat="1" x14ac:dyDescent="0.3">
      <c r="D127" s="43"/>
      <c r="F127" s="43"/>
      <c r="X127" s="46"/>
    </row>
    <row r="128" spans="4:24" s="42" customFormat="1" x14ac:dyDescent="0.3">
      <c r="D128" s="43"/>
      <c r="F128" s="43"/>
      <c r="X128" s="46"/>
    </row>
    <row r="129" spans="4:24" s="42" customFormat="1" x14ac:dyDescent="0.3">
      <c r="D129" s="43"/>
      <c r="F129" s="43"/>
      <c r="X129" s="46"/>
    </row>
    <row r="130" spans="4:24" s="42" customFormat="1" x14ac:dyDescent="0.3">
      <c r="D130" s="43"/>
      <c r="F130" s="43"/>
      <c r="X130" s="46"/>
    </row>
    <row r="131" spans="4:24" s="42" customFormat="1" x14ac:dyDescent="0.3">
      <c r="D131" s="43"/>
      <c r="F131" s="43"/>
      <c r="X131" s="46"/>
    </row>
    <row r="132" spans="4:24" s="42" customFormat="1" x14ac:dyDescent="0.3">
      <c r="D132" s="43"/>
      <c r="F132" s="43"/>
      <c r="X132" s="46"/>
    </row>
    <row r="133" spans="4:24" s="42" customFormat="1" x14ac:dyDescent="0.3">
      <c r="D133" s="43"/>
      <c r="F133" s="43"/>
      <c r="X133" s="46"/>
    </row>
    <row r="134" spans="4:24" s="42" customFormat="1" x14ac:dyDescent="0.3">
      <c r="D134" s="43"/>
      <c r="F134" s="43"/>
      <c r="X134" s="46"/>
    </row>
    <row r="135" spans="4:24" s="42" customFormat="1" x14ac:dyDescent="0.3">
      <c r="D135" s="43"/>
      <c r="F135" s="43"/>
      <c r="X135" s="46"/>
    </row>
    <row r="136" spans="4:24" s="42" customFormat="1" x14ac:dyDescent="0.3">
      <c r="D136" s="43"/>
      <c r="F136" s="43"/>
      <c r="X136" s="46"/>
    </row>
    <row r="137" spans="4:24" s="42" customFormat="1" x14ac:dyDescent="0.3">
      <c r="D137" s="43"/>
      <c r="F137" s="43"/>
      <c r="X137" s="46"/>
    </row>
    <row r="138" spans="4:24" s="42" customFormat="1" x14ac:dyDescent="0.3">
      <c r="D138" s="43"/>
      <c r="F138" s="43"/>
      <c r="X138" s="46"/>
    </row>
    <row r="139" spans="4:24" s="42" customFormat="1" x14ac:dyDescent="0.3">
      <c r="D139" s="43"/>
      <c r="F139" s="43"/>
      <c r="X139" s="46"/>
    </row>
    <row r="140" spans="4:24" s="42" customFormat="1" x14ac:dyDescent="0.3">
      <c r="D140" s="43"/>
      <c r="F140" s="43"/>
      <c r="X140" s="46"/>
    </row>
    <row r="141" spans="4:24" s="42" customFormat="1" x14ac:dyDescent="0.3">
      <c r="D141" s="43"/>
      <c r="F141" s="43"/>
      <c r="X141" s="46"/>
    </row>
    <row r="142" spans="4:24" s="42" customFormat="1" x14ac:dyDescent="0.3">
      <c r="D142" s="43"/>
      <c r="F142" s="43"/>
      <c r="X142" s="46"/>
    </row>
    <row r="143" spans="4:24" s="42" customFormat="1" x14ac:dyDescent="0.3">
      <c r="D143" s="43"/>
      <c r="F143" s="43"/>
      <c r="X143" s="46"/>
    </row>
    <row r="144" spans="4:24" s="42" customFormat="1" x14ac:dyDescent="0.3">
      <c r="D144" s="43"/>
      <c r="F144" s="43"/>
      <c r="X144" s="46"/>
    </row>
    <row r="145" spans="4:24" s="42" customFormat="1" x14ac:dyDescent="0.3">
      <c r="D145" s="43"/>
      <c r="F145" s="43"/>
      <c r="X145" s="46"/>
    </row>
    <row r="146" spans="4:24" s="42" customFormat="1" x14ac:dyDescent="0.3">
      <c r="D146" s="43"/>
      <c r="F146" s="43"/>
      <c r="X146" s="46"/>
    </row>
    <row r="147" spans="4:24" s="42" customFormat="1" x14ac:dyDescent="0.3">
      <c r="D147" s="43"/>
      <c r="F147" s="43"/>
      <c r="X147" s="46"/>
    </row>
    <row r="148" spans="4:24" s="42" customFormat="1" x14ac:dyDescent="0.3">
      <c r="D148" s="43"/>
      <c r="F148" s="43"/>
      <c r="X148" s="46"/>
    </row>
    <row r="149" spans="4:24" s="42" customFormat="1" x14ac:dyDescent="0.3">
      <c r="D149" s="43"/>
      <c r="F149" s="43"/>
      <c r="X149" s="46"/>
    </row>
    <row r="150" spans="4:24" s="42" customFormat="1" x14ac:dyDescent="0.3">
      <c r="D150" s="43"/>
      <c r="F150" s="43"/>
      <c r="X150" s="46"/>
    </row>
    <row r="151" spans="4:24" s="42" customFormat="1" x14ac:dyDescent="0.3">
      <c r="D151" s="43"/>
      <c r="F151" s="43"/>
      <c r="X151" s="46"/>
    </row>
    <row r="152" spans="4:24" s="42" customFormat="1" x14ac:dyDescent="0.3">
      <c r="D152" s="43"/>
      <c r="F152" s="43"/>
      <c r="X152" s="46"/>
    </row>
    <row r="153" spans="4:24" s="42" customFormat="1" x14ac:dyDescent="0.3">
      <c r="D153" s="43"/>
      <c r="F153" s="43"/>
      <c r="X153" s="46"/>
    </row>
    <row r="154" spans="4:24" s="42" customFormat="1" x14ac:dyDescent="0.3">
      <c r="D154" s="43"/>
      <c r="F154" s="43"/>
      <c r="X154" s="46"/>
    </row>
    <row r="155" spans="4:24" s="42" customFormat="1" x14ac:dyDescent="0.3">
      <c r="D155" s="43"/>
      <c r="F155" s="43"/>
      <c r="X155" s="46"/>
    </row>
    <row r="156" spans="4:24" s="42" customFormat="1" x14ac:dyDescent="0.3">
      <c r="D156" s="43"/>
      <c r="F156" s="43"/>
      <c r="X156" s="46"/>
    </row>
    <row r="157" spans="4:24" s="42" customFormat="1" x14ac:dyDescent="0.3">
      <c r="D157" s="43"/>
      <c r="F157" s="43"/>
      <c r="X157" s="46"/>
    </row>
    <row r="158" spans="4:24" s="42" customFormat="1" x14ac:dyDescent="0.3">
      <c r="D158" s="43"/>
      <c r="F158" s="43"/>
      <c r="X158" s="46"/>
    </row>
    <row r="159" spans="4:24" s="42" customFormat="1" x14ac:dyDescent="0.3">
      <c r="D159" s="43"/>
      <c r="F159" s="43"/>
      <c r="X159" s="46"/>
    </row>
    <row r="160" spans="4:24" s="42" customFormat="1" x14ac:dyDescent="0.3">
      <c r="D160" s="43"/>
      <c r="F160" s="43"/>
      <c r="X160" s="46"/>
    </row>
    <row r="161" spans="4:24" s="42" customFormat="1" x14ac:dyDescent="0.3">
      <c r="D161" s="43"/>
      <c r="F161" s="43"/>
      <c r="X161" s="46"/>
    </row>
    <row r="162" spans="4:24" s="42" customFormat="1" x14ac:dyDescent="0.3">
      <c r="D162" s="43"/>
      <c r="F162" s="43"/>
      <c r="X162" s="46"/>
    </row>
    <row r="163" spans="4:24" s="42" customFormat="1" x14ac:dyDescent="0.3">
      <c r="D163" s="43"/>
      <c r="F163" s="43"/>
      <c r="X163" s="46"/>
    </row>
    <row r="164" spans="4:24" s="42" customFormat="1" x14ac:dyDescent="0.3">
      <c r="D164" s="43"/>
      <c r="F164" s="43"/>
      <c r="X164" s="46"/>
    </row>
    <row r="165" spans="4:24" s="42" customFormat="1" x14ac:dyDescent="0.3">
      <c r="D165" s="43"/>
      <c r="F165" s="43"/>
      <c r="X165" s="46"/>
    </row>
    <row r="166" spans="4:24" s="42" customFormat="1" x14ac:dyDescent="0.3">
      <c r="D166" s="43"/>
      <c r="F166" s="43"/>
      <c r="X166" s="46"/>
    </row>
    <row r="167" spans="4:24" s="42" customFormat="1" x14ac:dyDescent="0.3">
      <c r="D167" s="43"/>
      <c r="F167" s="43"/>
      <c r="X167" s="46"/>
    </row>
    <row r="168" spans="4:24" s="42" customFormat="1" x14ac:dyDescent="0.3">
      <c r="D168" s="43"/>
      <c r="F168" s="43"/>
      <c r="X168" s="46"/>
    </row>
    <row r="169" spans="4:24" s="42" customFormat="1" x14ac:dyDescent="0.3">
      <c r="D169" s="43"/>
      <c r="F169" s="43"/>
      <c r="X169" s="46"/>
    </row>
    <row r="170" spans="4:24" s="42" customFormat="1" x14ac:dyDescent="0.3">
      <c r="D170" s="43"/>
      <c r="F170" s="43"/>
      <c r="X170" s="46"/>
    </row>
    <row r="171" spans="4:24" s="42" customFormat="1" x14ac:dyDescent="0.3">
      <c r="D171" s="43"/>
      <c r="F171" s="43"/>
      <c r="X171" s="46"/>
    </row>
    <row r="172" spans="4:24" s="42" customFormat="1" x14ac:dyDescent="0.3">
      <c r="D172" s="43"/>
      <c r="F172" s="43"/>
      <c r="X172" s="46"/>
    </row>
    <row r="173" spans="4:24" s="42" customFormat="1" x14ac:dyDescent="0.3">
      <c r="D173" s="43"/>
      <c r="F173" s="43"/>
      <c r="X173" s="46"/>
    </row>
    <row r="174" spans="4:24" s="42" customFormat="1" x14ac:dyDescent="0.3">
      <c r="D174" s="43"/>
      <c r="F174" s="43"/>
      <c r="X174" s="46"/>
    </row>
    <row r="175" spans="4:24" s="42" customFormat="1" x14ac:dyDescent="0.3">
      <c r="D175" s="43"/>
      <c r="F175" s="43"/>
      <c r="X175" s="46"/>
    </row>
    <row r="176" spans="4:24" s="42" customFormat="1" x14ac:dyDescent="0.3">
      <c r="D176" s="43"/>
      <c r="F176" s="43"/>
      <c r="X176" s="46"/>
    </row>
    <row r="177" spans="4:24" s="42" customFormat="1" x14ac:dyDescent="0.3">
      <c r="D177" s="43"/>
      <c r="F177" s="43"/>
      <c r="X177" s="46"/>
    </row>
    <row r="178" spans="4:24" s="42" customFormat="1" x14ac:dyDescent="0.3">
      <c r="D178" s="43"/>
      <c r="F178" s="43"/>
      <c r="X178" s="46"/>
    </row>
    <row r="179" spans="4:24" s="42" customFormat="1" x14ac:dyDescent="0.3">
      <c r="D179" s="43"/>
      <c r="F179" s="43"/>
      <c r="X179" s="46"/>
    </row>
    <row r="180" spans="4:24" s="42" customFormat="1" x14ac:dyDescent="0.3">
      <c r="D180" s="43"/>
      <c r="F180" s="43"/>
      <c r="X180" s="46"/>
    </row>
    <row r="181" spans="4:24" s="42" customFormat="1" x14ac:dyDescent="0.3">
      <c r="D181" s="43"/>
      <c r="F181" s="43"/>
      <c r="X181" s="46"/>
    </row>
    <row r="182" spans="4:24" s="42" customFormat="1" x14ac:dyDescent="0.3">
      <c r="D182" s="43"/>
      <c r="F182" s="43"/>
      <c r="X182" s="46"/>
    </row>
    <row r="183" spans="4:24" s="42" customFormat="1" x14ac:dyDescent="0.3">
      <c r="D183" s="43"/>
      <c r="F183" s="43"/>
      <c r="X183" s="46"/>
    </row>
    <row r="184" spans="4:24" s="42" customFormat="1" x14ac:dyDescent="0.3">
      <c r="D184" s="43"/>
      <c r="F184" s="43"/>
      <c r="X184" s="46"/>
    </row>
    <row r="185" spans="4:24" s="42" customFormat="1" x14ac:dyDescent="0.3">
      <c r="D185" s="43"/>
      <c r="F185" s="43"/>
      <c r="X185" s="46"/>
    </row>
    <row r="186" spans="4:24" s="42" customFormat="1" x14ac:dyDescent="0.3">
      <c r="D186" s="43"/>
      <c r="F186" s="43"/>
      <c r="X186" s="46"/>
    </row>
    <row r="187" spans="4:24" s="42" customFormat="1" x14ac:dyDescent="0.3">
      <c r="D187" s="43"/>
      <c r="F187" s="43"/>
      <c r="X187" s="46"/>
    </row>
    <row r="188" spans="4:24" s="42" customFormat="1" x14ac:dyDescent="0.3">
      <c r="D188" s="43"/>
      <c r="F188" s="43"/>
      <c r="X188" s="46"/>
    </row>
    <row r="189" spans="4:24" s="42" customFormat="1" x14ac:dyDescent="0.3">
      <c r="D189" s="43"/>
      <c r="F189" s="43"/>
      <c r="X189" s="46"/>
    </row>
    <row r="190" spans="4:24" s="42" customFormat="1" x14ac:dyDescent="0.3">
      <c r="D190" s="43"/>
      <c r="F190" s="43"/>
      <c r="X190" s="46"/>
    </row>
    <row r="191" spans="4:24" s="42" customFormat="1" x14ac:dyDescent="0.3">
      <c r="D191" s="43"/>
      <c r="F191" s="43"/>
      <c r="X191" s="46"/>
    </row>
    <row r="192" spans="4:24" s="42" customFormat="1" x14ac:dyDescent="0.3">
      <c r="D192" s="43"/>
      <c r="F192" s="43"/>
      <c r="X192" s="46"/>
    </row>
    <row r="193" spans="4:24" s="42" customFormat="1" x14ac:dyDescent="0.3">
      <c r="D193" s="43"/>
      <c r="F193" s="43"/>
      <c r="X193" s="46"/>
    </row>
    <row r="194" spans="4:24" s="42" customFormat="1" x14ac:dyDescent="0.3">
      <c r="D194" s="43"/>
      <c r="F194" s="43"/>
      <c r="X194" s="46"/>
    </row>
    <row r="195" spans="4:24" s="42" customFormat="1" x14ac:dyDescent="0.3">
      <c r="D195" s="43"/>
      <c r="F195" s="43"/>
      <c r="X195" s="46"/>
    </row>
    <row r="196" spans="4:24" s="42" customFormat="1" x14ac:dyDescent="0.3">
      <c r="D196" s="43"/>
      <c r="F196" s="43"/>
      <c r="X196" s="46"/>
    </row>
    <row r="197" spans="4:24" s="42" customFormat="1" x14ac:dyDescent="0.3">
      <c r="D197" s="43"/>
      <c r="F197" s="43"/>
      <c r="X197" s="46"/>
    </row>
    <row r="198" spans="4:24" s="42" customFormat="1" x14ac:dyDescent="0.3">
      <c r="D198" s="43"/>
      <c r="F198" s="43"/>
      <c r="X198" s="46"/>
    </row>
    <row r="199" spans="4:24" s="42" customFormat="1" x14ac:dyDescent="0.3">
      <c r="D199" s="43"/>
      <c r="F199" s="43"/>
      <c r="X199" s="46"/>
    </row>
    <row r="200" spans="4:24" s="42" customFormat="1" x14ac:dyDescent="0.3">
      <c r="D200" s="43"/>
      <c r="F200" s="43"/>
      <c r="X200" s="46"/>
    </row>
    <row r="201" spans="4:24" s="42" customFormat="1" x14ac:dyDescent="0.3">
      <c r="D201" s="43"/>
      <c r="F201" s="43"/>
      <c r="X201" s="46"/>
    </row>
    <row r="202" spans="4:24" s="42" customFormat="1" x14ac:dyDescent="0.3">
      <c r="D202" s="43"/>
      <c r="F202" s="43"/>
      <c r="X202" s="46"/>
    </row>
    <row r="203" spans="4:24" s="42" customFormat="1" x14ac:dyDescent="0.3">
      <c r="D203" s="43"/>
      <c r="F203" s="43"/>
      <c r="X203" s="46"/>
    </row>
    <row r="204" spans="4:24" s="42" customFormat="1" x14ac:dyDescent="0.3">
      <c r="D204" s="43"/>
      <c r="F204" s="43"/>
      <c r="X204" s="46"/>
    </row>
    <row r="205" spans="4:24" s="42" customFormat="1" x14ac:dyDescent="0.3">
      <c r="D205" s="43"/>
      <c r="F205" s="43"/>
      <c r="X205" s="46"/>
    </row>
    <row r="206" spans="4:24" s="42" customFormat="1" x14ac:dyDescent="0.3">
      <c r="D206" s="43"/>
      <c r="F206" s="43"/>
      <c r="X206" s="46"/>
    </row>
    <row r="207" spans="4:24" s="42" customFormat="1" x14ac:dyDescent="0.3">
      <c r="D207" s="43"/>
      <c r="F207" s="43"/>
      <c r="X207" s="46"/>
    </row>
    <row r="208" spans="4:24" s="42" customFormat="1" x14ac:dyDescent="0.3">
      <c r="D208" s="43"/>
      <c r="F208" s="43"/>
      <c r="X208" s="46"/>
    </row>
    <row r="209" spans="4:24" s="42" customFormat="1" x14ac:dyDescent="0.3">
      <c r="D209" s="43"/>
      <c r="F209" s="43"/>
      <c r="X209" s="46"/>
    </row>
    <row r="210" spans="4:24" s="42" customFormat="1" x14ac:dyDescent="0.3">
      <c r="D210" s="43"/>
      <c r="F210" s="43"/>
      <c r="X210" s="46"/>
    </row>
    <row r="211" spans="4:24" s="42" customFormat="1" x14ac:dyDescent="0.3">
      <c r="D211" s="43"/>
      <c r="F211" s="43"/>
      <c r="X211" s="46"/>
    </row>
    <row r="212" spans="4:24" s="42" customFormat="1" x14ac:dyDescent="0.3">
      <c r="D212" s="43"/>
      <c r="F212" s="43"/>
      <c r="X212" s="46"/>
    </row>
    <row r="213" spans="4:24" s="42" customFormat="1" x14ac:dyDescent="0.3">
      <c r="D213" s="43"/>
      <c r="F213" s="43"/>
      <c r="X213" s="46"/>
    </row>
    <row r="214" spans="4:24" s="42" customFormat="1" x14ac:dyDescent="0.3">
      <c r="D214" s="43"/>
      <c r="F214" s="43"/>
      <c r="X214" s="46"/>
    </row>
    <row r="215" spans="4:24" s="42" customFormat="1" x14ac:dyDescent="0.3">
      <c r="D215" s="43"/>
      <c r="F215" s="43"/>
      <c r="X215" s="46"/>
    </row>
    <row r="216" spans="4:24" s="42" customFormat="1" x14ac:dyDescent="0.3">
      <c r="D216" s="43"/>
      <c r="F216" s="43"/>
      <c r="X216" s="46"/>
    </row>
    <row r="217" spans="4:24" s="42" customFormat="1" x14ac:dyDescent="0.3">
      <c r="D217" s="43"/>
      <c r="F217" s="43"/>
      <c r="X217" s="46"/>
    </row>
    <row r="218" spans="4:24" s="42" customFormat="1" x14ac:dyDescent="0.3">
      <c r="D218" s="43"/>
      <c r="F218" s="43"/>
      <c r="X218" s="46"/>
    </row>
    <row r="219" spans="4:24" s="42" customFormat="1" x14ac:dyDescent="0.3">
      <c r="D219" s="43"/>
      <c r="F219" s="43"/>
      <c r="X219" s="46"/>
    </row>
    <row r="220" spans="4:24" s="42" customFormat="1" x14ac:dyDescent="0.3">
      <c r="D220" s="43"/>
      <c r="F220" s="43"/>
      <c r="X220" s="46"/>
    </row>
    <row r="221" spans="4:24" s="42" customFormat="1" x14ac:dyDescent="0.3">
      <c r="D221" s="43"/>
      <c r="F221" s="43"/>
      <c r="X221" s="46"/>
    </row>
    <row r="222" spans="4:24" s="42" customFormat="1" x14ac:dyDescent="0.3">
      <c r="D222" s="43"/>
      <c r="F222" s="43"/>
      <c r="X222" s="46"/>
    </row>
    <row r="223" spans="4:24" s="42" customFormat="1" x14ac:dyDescent="0.3">
      <c r="D223" s="43"/>
      <c r="F223" s="43"/>
      <c r="X223" s="46"/>
    </row>
    <row r="224" spans="4:24" s="42" customFormat="1" x14ac:dyDescent="0.3">
      <c r="D224" s="43"/>
      <c r="F224" s="43"/>
      <c r="X224" s="46"/>
    </row>
    <row r="225" spans="4:24" s="42" customFormat="1" x14ac:dyDescent="0.3">
      <c r="D225" s="43"/>
      <c r="F225" s="43"/>
      <c r="X225" s="46"/>
    </row>
    <row r="226" spans="4:24" s="42" customFormat="1" x14ac:dyDescent="0.3">
      <c r="D226" s="43"/>
      <c r="F226" s="43"/>
      <c r="X226" s="46"/>
    </row>
    <row r="227" spans="4:24" s="42" customFormat="1" x14ac:dyDescent="0.3">
      <c r="D227" s="43"/>
      <c r="F227" s="43"/>
      <c r="X227" s="46"/>
    </row>
    <row r="228" spans="4:24" s="42" customFormat="1" x14ac:dyDescent="0.3">
      <c r="D228" s="43"/>
      <c r="F228" s="43"/>
      <c r="X228" s="46"/>
    </row>
    <row r="229" spans="4:24" s="42" customFormat="1" x14ac:dyDescent="0.3">
      <c r="D229" s="43"/>
      <c r="F229" s="43"/>
      <c r="X229" s="46"/>
    </row>
    <row r="230" spans="4:24" s="42" customFormat="1" x14ac:dyDescent="0.3">
      <c r="D230" s="43"/>
      <c r="F230" s="43"/>
      <c r="X230" s="46"/>
    </row>
    <row r="231" spans="4:24" s="42" customFormat="1" x14ac:dyDescent="0.3">
      <c r="D231" s="43"/>
      <c r="F231" s="43"/>
      <c r="X231" s="46"/>
    </row>
    <row r="232" spans="4:24" s="42" customFormat="1" x14ac:dyDescent="0.3">
      <c r="D232" s="43"/>
      <c r="F232" s="43"/>
      <c r="X232" s="46"/>
    </row>
    <row r="233" spans="4:24" s="42" customFormat="1" x14ac:dyDescent="0.3">
      <c r="D233" s="43"/>
      <c r="F233" s="43"/>
      <c r="X233" s="46"/>
    </row>
    <row r="234" spans="4:24" s="42" customFormat="1" x14ac:dyDescent="0.3">
      <c r="D234" s="43"/>
      <c r="F234" s="43"/>
      <c r="X234" s="46"/>
    </row>
    <row r="235" spans="4:24" s="42" customFormat="1" x14ac:dyDescent="0.3">
      <c r="D235" s="43"/>
      <c r="F235" s="43"/>
      <c r="X235" s="46"/>
    </row>
    <row r="236" spans="4:24" s="42" customFormat="1" x14ac:dyDescent="0.3">
      <c r="D236" s="43"/>
      <c r="F236" s="43"/>
      <c r="X236" s="46"/>
    </row>
    <row r="237" spans="4:24" s="42" customFormat="1" x14ac:dyDescent="0.3">
      <c r="D237" s="43"/>
      <c r="F237" s="43"/>
      <c r="X237" s="46"/>
    </row>
    <row r="238" spans="4:24" s="42" customFormat="1" x14ac:dyDescent="0.3">
      <c r="D238" s="43"/>
      <c r="F238" s="43"/>
      <c r="X238" s="46"/>
    </row>
    <row r="239" spans="4:24" s="42" customFormat="1" x14ac:dyDescent="0.3">
      <c r="D239" s="43"/>
      <c r="F239" s="43"/>
      <c r="X239" s="46"/>
    </row>
    <row r="240" spans="4:24" s="42" customFormat="1" x14ac:dyDescent="0.3">
      <c r="D240" s="43"/>
      <c r="F240" s="43"/>
      <c r="X240" s="46"/>
    </row>
    <row r="241" spans="4:24" s="42" customFormat="1" x14ac:dyDescent="0.3">
      <c r="D241" s="43"/>
      <c r="F241" s="43"/>
      <c r="X241" s="46"/>
    </row>
    <row r="242" spans="4:24" s="42" customFormat="1" x14ac:dyDescent="0.3">
      <c r="D242" s="43"/>
      <c r="F242" s="43"/>
      <c r="X242" s="46"/>
    </row>
    <row r="243" spans="4:24" s="42" customFormat="1" x14ac:dyDescent="0.3">
      <c r="D243" s="43"/>
      <c r="F243" s="43"/>
      <c r="X243" s="46"/>
    </row>
    <row r="244" spans="4:24" s="42" customFormat="1" x14ac:dyDescent="0.3">
      <c r="D244" s="43"/>
      <c r="F244" s="43"/>
      <c r="X244" s="46"/>
    </row>
    <row r="245" spans="4:24" s="42" customFormat="1" x14ac:dyDescent="0.3">
      <c r="D245" s="43"/>
      <c r="F245" s="43"/>
      <c r="X245" s="46"/>
    </row>
    <row r="246" spans="4:24" s="42" customFormat="1" x14ac:dyDescent="0.3">
      <c r="D246" s="43"/>
      <c r="F246" s="43"/>
      <c r="X246" s="46"/>
    </row>
    <row r="247" spans="4:24" s="42" customFormat="1" x14ac:dyDescent="0.3">
      <c r="D247" s="43"/>
      <c r="F247" s="43"/>
      <c r="X247" s="46"/>
    </row>
    <row r="248" spans="4:24" s="42" customFormat="1" x14ac:dyDescent="0.3">
      <c r="D248" s="43"/>
      <c r="F248" s="43"/>
      <c r="X248" s="46"/>
    </row>
    <row r="249" spans="4:24" s="42" customFormat="1" x14ac:dyDescent="0.3">
      <c r="D249" s="43"/>
      <c r="F249" s="43"/>
      <c r="X249" s="46"/>
    </row>
    <row r="250" spans="4:24" s="42" customFormat="1" x14ac:dyDescent="0.3">
      <c r="D250" s="43"/>
      <c r="F250" s="43"/>
      <c r="X250" s="46"/>
    </row>
    <row r="251" spans="4:24" s="42" customFormat="1" x14ac:dyDescent="0.3">
      <c r="D251" s="43"/>
      <c r="F251" s="43"/>
      <c r="X251" s="46"/>
    </row>
    <row r="252" spans="4:24" s="42" customFormat="1" x14ac:dyDescent="0.3">
      <c r="D252" s="43"/>
      <c r="F252" s="43"/>
      <c r="X252" s="46"/>
    </row>
    <row r="253" spans="4:24" s="42" customFormat="1" x14ac:dyDescent="0.3">
      <c r="D253" s="43"/>
      <c r="F253" s="43"/>
      <c r="X253" s="46"/>
    </row>
    <row r="254" spans="4:24" s="42" customFormat="1" x14ac:dyDescent="0.3">
      <c r="D254" s="43"/>
      <c r="F254" s="43"/>
      <c r="X254" s="46"/>
    </row>
    <row r="255" spans="4:24" s="42" customFormat="1" x14ac:dyDescent="0.3">
      <c r="D255" s="43"/>
      <c r="F255" s="43"/>
      <c r="X255" s="46"/>
    </row>
    <row r="256" spans="4:24" s="42" customFormat="1" x14ac:dyDescent="0.3">
      <c r="D256" s="43"/>
      <c r="F256" s="43"/>
      <c r="X256" s="46"/>
    </row>
    <row r="257" spans="4:24" s="42" customFormat="1" x14ac:dyDescent="0.3">
      <c r="D257" s="43"/>
      <c r="F257" s="43"/>
      <c r="X257" s="46"/>
    </row>
    <row r="258" spans="4:24" s="42" customFormat="1" x14ac:dyDescent="0.3">
      <c r="D258" s="43"/>
      <c r="F258" s="43"/>
      <c r="X258" s="46"/>
    </row>
    <row r="259" spans="4:24" s="42" customFormat="1" x14ac:dyDescent="0.3">
      <c r="D259" s="43"/>
      <c r="F259" s="43"/>
      <c r="X259" s="46"/>
    </row>
    <row r="260" spans="4:24" s="42" customFormat="1" x14ac:dyDescent="0.3">
      <c r="D260" s="43"/>
      <c r="F260" s="43"/>
      <c r="X260" s="46"/>
    </row>
    <row r="261" spans="4:24" s="42" customFormat="1" x14ac:dyDescent="0.3">
      <c r="D261" s="43"/>
      <c r="F261" s="43"/>
      <c r="X261" s="46"/>
    </row>
    <row r="262" spans="4:24" s="42" customFormat="1" x14ac:dyDescent="0.3">
      <c r="D262" s="43"/>
      <c r="F262" s="43"/>
      <c r="X262" s="46"/>
    </row>
    <row r="263" spans="4:24" s="42" customFormat="1" x14ac:dyDescent="0.3">
      <c r="D263" s="43"/>
      <c r="F263" s="43"/>
      <c r="X263" s="46"/>
    </row>
    <row r="264" spans="4:24" s="42" customFormat="1" x14ac:dyDescent="0.3">
      <c r="D264" s="43"/>
      <c r="F264" s="43"/>
      <c r="X264" s="46"/>
    </row>
    <row r="265" spans="4:24" s="42" customFormat="1" x14ac:dyDescent="0.3">
      <c r="D265" s="43"/>
      <c r="F265" s="43"/>
      <c r="X265" s="46"/>
    </row>
    <row r="266" spans="4:24" s="42" customFormat="1" x14ac:dyDescent="0.3">
      <c r="D266" s="43"/>
      <c r="F266" s="43"/>
      <c r="X266" s="46"/>
    </row>
    <row r="267" spans="4:24" s="42" customFormat="1" x14ac:dyDescent="0.3">
      <c r="D267" s="43"/>
      <c r="F267" s="43"/>
      <c r="X267" s="46"/>
    </row>
    <row r="268" spans="4:24" s="42" customFormat="1" x14ac:dyDescent="0.3">
      <c r="D268" s="43"/>
      <c r="F268" s="43"/>
      <c r="X268" s="46"/>
    </row>
    <row r="269" spans="4:24" s="42" customFormat="1" x14ac:dyDescent="0.3">
      <c r="D269" s="43"/>
      <c r="F269" s="43"/>
      <c r="X269" s="46"/>
    </row>
    <row r="270" spans="4:24" s="42" customFormat="1" x14ac:dyDescent="0.3">
      <c r="D270" s="43"/>
      <c r="F270" s="43"/>
      <c r="X270" s="46"/>
    </row>
    <row r="271" spans="4:24" s="42" customFormat="1" x14ac:dyDescent="0.3">
      <c r="D271" s="43"/>
      <c r="F271" s="43"/>
      <c r="X271" s="46"/>
    </row>
    <row r="272" spans="4:24" s="42" customFormat="1" x14ac:dyDescent="0.3">
      <c r="D272" s="43"/>
      <c r="F272" s="43"/>
      <c r="X272" s="46"/>
    </row>
    <row r="273" spans="4:24" s="42" customFormat="1" x14ac:dyDescent="0.3">
      <c r="D273" s="43"/>
      <c r="F273" s="43"/>
      <c r="X273" s="46"/>
    </row>
    <row r="274" spans="4:24" s="42" customFormat="1" x14ac:dyDescent="0.3">
      <c r="D274" s="43"/>
      <c r="F274" s="43"/>
      <c r="X274" s="46"/>
    </row>
    <row r="275" spans="4:24" s="42" customFormat="1" x14ac:dyDescent="0.3">
      <c r="D275" s="43"/>
      <c r="F275" s="43"/>
      <c r="X275" s="46"/>
    </row>
    <row r="276" spans="4:24" s="42" customFormat="1" x14ac:dyDescent="0.3">
      <c r="D276" s="43"/>
      <c r="F276" s="43"/>
      <c r="X276" s="46"/>
    </row>
    <row r="277" spans="4:24" s="42" customFormat="1" x14ac:dyDescent="0.3">
      <c r="D277" s="43"/>
      <c r="F277" s="43"/>
      <c r="X277" s="46"/>
    </row>
    <row r="278" spans="4:24" s="42" customFormat="1" x14ac:dyDescent="0.3">
      <c r="D278" s="43"/>
      <c r="F278" s="43"/>
      <c r="X278" s="46"/>
    </row>
    <row r="279" spans="4:24" s="42" customFormat="1" x14ac:dyDescent="0.3">
      <c r="D279" s="43"/>
      <c r="F279" s="43"/>
      <c r="X279" s="46"/>
    </row>
    <row r="280" spans="4:24" s="42" customFormat="1" x14ac:dyDescent="0.3">
      <c r="D280" s="43"/>
      <c r="F280" s="43"/>
      <c r="X280" s="46"/>
    </row>
    <row r="281" spans="4:24" s="42" customFormat="1" x14ac:dyDescent="0.3">
      <c r="D281" s="43"/>
      <c r="F281" s="43"/>
      <c r="X281" s="46"/>
    </row>
    <row r="282" spans="4:24" s="42" customFormat="1" x14ac:dyDescent="0.3">
      <c r="D282" s="43"/>
      <c r="F282" s="43"/>
      <c r="X282" s="46"/>
    </row>
    <row r="283" spans="4:24" s="42" customFormat="1" x14ac:dyDescent="0.3">
      <c r="D283" s="43"/>
      <c r="F283" s="43"/>
      <c r="X283" s="46"/>
    </row>
    <row r="284" spans="4:24" s="42" customFormat="1" x14ac:dyDescent="0.3">
      <c r="D284" s="43"/>
      <c r="F284" s="43"/>
      <c r="X284" s="46"/>
    </row>
    <row r="285" spans="4:24" s="42" customFormat="1" x14ac:dyDescent="0.3">
      <c r="D285" s="43"/>
      <c r="F285" s="43"/>
      <c r="X285" s="46"/>
    </row>
    <row r="286" spans="4:24" s="42" customFormat="1" x14ac:dyDescent="0.3">
      <c r="D286" s="43"/>
      <c r="F286" s="43"/>
      <c r="X286" s="46"/>
    </row>
    <row r="287" spans="4:24" s="42" customFormat="1" x14ac:dyDescent="0.3">
      <c r="D287" s="43"/>
      <c r="F287" s="43"/>
      <c r="X287" s="46"/>
    </row>
    <row r="288" spans="4:24" s="42" customFormat="1" x14ac:dyDescent="0.3">
      <c r="D288" s="43"/>
      <c r="F288" s="43"/>
      <c r="X288" s="46"/>
    </row>
    <row r="289" spans="4:24" s="42" customFormat="1" x14ac:dyDescent="0.3">
      <c r="D289" s="43"/>
      <c r="F289" s="43"/>
      <c r="X289" s="46"/>
    </row>
    <row r="290" spans="4:24" s="42" customFormat="1" x14ac:dyDescent="0.3">
      <c r="D290" s="43"/>
      <c r="F290" s="43"/>
      <c r="X290" s="46"/>
    </row>
    <row r="291" spans="4:24" s="42" customFormat="1" x14ac:dyDescent="0.3">
      <c r="D291" s="43"/>
      <c r="F291" s="43"/>
      <c r="X291" s="46"/>
    </row>
    <row r="292" spans="4:24" s="42" customFormat="1" x14ac:dyDescent="0.3">
      <c r="D292" s="43"/>
      <c r="F292" s="43"/>
      <c r="X292" s="46"/>
    </row>
    <row r="293" spans="4:24" s="42" customFormat="1" x14ac:dyDescent="0.3">
      <c r="D293" s="43"/>
      <c r="F293" s="43"/>
      <c r="X293" s="46"/>
    </row>
    <row r="294" spans="4:24" s="42" customFormat="1" x14ac:dyDescent="0.3">
      <c r="D294" s="43"/>
      <c r="F294" s="43"/>
      <c r="X294" s="46"/>
    </row>
    <row r="295" spans="4:24" s="42" customFormat="1" x14ac:dyDescent="0.3">
      <c r="D295" s="43"/>
      <c r="F295" s="43"/>
      <c r="X295" s="46"/>
    </row>
    <row r="296" spans="4:24" s="42" customFormat="1" x14ac:dyDescent="0.3">
      <c r="D296" s="43"/>
      <c r="F296" s="43"/>
      <c r="X296" s="46"/>
    </row>
    <row r="297" spans="4:24" s="42" customFormat="1" x14ac:dyDescent="0.3">
      <c r="D297" s="43"/>
      <c r="F297" s="43"/>
      <c r="X297" s="46"/>
    </row>
    <row r="298" spans="4:24" s="42" customFormat="1" x14ac:dyDescent="0.3">
      <c r="D298" s="43"/>
      <c r="F298" s="43"/>
      <c r="X298" s="46"/>
    </row>
    <row r="299" spans="4:24" s="42" customFormat="1" x14ac:dyDescent="0.3">
      <c r="D299" s="43"/>
      <c r="F299" s="43"/>
      <c r="X299" s="46"/>
    </row>
    <row r="300" spans="4:24" s="42" customFormat="1" x14ac:dyDescent="0.3">
      <c r="D300" s="43"/>
      <c r="F300" s="43"/>
      <c r="X300" s="46"/>
    </row>
    <row r="301" spans="4:24" s="42" customFormat="1" x14ac:dyDescent="0.3">
      <c r="D301" s="43"/>
      <c r="F301" s="43"/>
      <c r="X301" s="46"/>
    </row>
    <row r="302" spans="4:24" s="42" customFormat="1" x14ac:dyDescent="0.3">
      <c r="D302" s="43"/>
      <c r="F302" s="43"/>
      <c r="X302" s="46"/>
    </row>
    <row r="303" spans="4:24" s="42" customFormat="1" x14ac:dyDescent="0.3">
      <c r="D303" s="43"/>
      <c r="F303" s="43"/>
      <c r="X303" s="46"/>
    </row>
    <row r="304" spans="4:24" s="42" customFormat="1" x14ac:dyDescent="0.3">
      <c r="D304" s="43"/>
      <c r="F304" s="43"/>
      <c r="X304" s="46"/>
    </row>
    <row r="305" spans="4:24" s="42" customFormat="1" x14ac:dyDescent="0.3">
      <c r="D305" s="43"/>
      <c r="F305" s="43"/>
      <c r="X305" s="46"/>
    </row>
    <row r="306" spans="4:24" s="42" customFormat="1" x14ac:dyDescent="0.3">
      <c r="D306" s="43"/>
      <c r="F306" s="43"/>
      <c r="X306" s="46"/>
    </row>
    <row r="307" spans="4:24" s="42" customFormat="1" x14ac:dyDescent="0.3">
      <c r="D307" s="43"/>
      <c r="F307" s="43"/>
      <c r="X307" s="46"/>
    </row>
    <row r="308" spans="4:24" s="42" customFormat="1" x14ac:dyDescent="0.3">
      <c r="D308" s="43"/>
      <c r="F308" s="43"/>
      <c r="X308" s="46"/>
    </row>
    <row r="309" spans="4:24" s="42" customFormat="1" x14ac:dyDescent="0.3">
      <c r="D309" s="43"/>
      <c r="F309" s="43"/>
      <c r="X309" s="46"/>
    </row>
    <row r="310" spans="4:24" s="42" customFormat="1" x14ac:dyDescent="0.3">
      <c r="D310" s="43"/>
      <c r="F310" s="43"/>
      <c r="X310" s="46"/>
    </row>
    <row r="311" spans="4:24" s="42" customFormat="1" x14ac:dyDescent="0.3">
      <c r="D311" s="43"/>
      <c r="F311" s="43"/>
      <c r="X311" s="46"/>
    </row>
    <row r="312" spans="4:24" s="42" customFormat="1" x14ac:dyDescent="0.3">
      <c r="D312" s="43"/>
      <c r="F312" s="43"/>
      <c r="X312" s="46"/>
    </row>
    <row r="313" spans="4:24" s="42" customFormat="1" x14ac:dyDescent="0.3">
      <c r="D313" s="43"/>
      <c r="F313" s="43"/>
      <c r="X313" s="46"/>
    </row>
    <row r="314" spans="4:24" s="42" customFormat="1" x14ac:dyDescent="0.3">
      <c r="D314" s="43"/>
      <c r="F314" s="43"/>
      <c r="X314" s="46"/>
    </row>
    <row r="315" spans="4:24" s="42" customFormat="1" x14ac:dyDescent="0.3">
      <c r="D315" s="43"/>
      <c r="F315" s="43"/>
      <c r="X315" s="46"/>
    </row>
    <row r="316" spans="4:24" s="42" customFormat="1" x14ac:dyDescent="0.3">
      <c r="D316" s="43"/>
      <c r="F316" s="43"/>
      <c r="X316" s="46"/>
    </row>
    <row r="317" spans="4:24" s="42" customFormat="1" x14ac:dyDescent="0.3">
      <c r="D317" s="43"/>
      <c r="F317" s="43"/>
      <c r="X317" s="46"/>
    </row>
    <row r="318" spans="4:24" s="42" customFormat="1" x14ac:dyDescent="0.3">
      <c r="D318" s="43"/>
      <c r="F318" s="43"/>
      <c r="X318" s="46"/>
    </row>
    <row r="319" spans="4:24" s="42" customFormat="1" x14ac:dyDescent="0.3">
      <c r="D319" s="43"/>
      <c r="F319" s="43"/>
      <c r="X319" s="46"/>
    </row>
    <row r="320" spans="4:24" s="42" customFormat="1" x14ac:dyDescent="0.3">
      <c r="D320" s="43"/>
      <c r="F320" s="43"/>
      <c r="X320" s="46"/>
    </row>
    <row r="321" spans="4:24" s="42" customFormat="1" x14ac:dyDescent="0.3">
      <c r="D321" s="43"/>
      <c r="F321" s="43"/>
      <c r="X321" s="46"/>
    </row>
    <row r="322" spans="4:24" s="42" customFormat="1" x14ac:dyDescent="0.3">
      <c r="D322" s="43"/>
      <c r="F322" s="43"/>
      <c r="X322" s="46"/>
    </row>
    <row r="323" spans="4:24" s="42" customFormat="1" x14ac:dyDescent="0.3">
      <c r="D323" s="43"/>
      <c r="F323" s="43"/>
      <c r="X323" s="46"/>
    </row>
    <row r="324" spans="4:24" s="42" customFormat="1" x14ac:dyDescent="0.3">
      <c r="D324" s="43"/>
      <c r="F324" s="43"/>
      <c r="X324" s="46"/>
    </row>
    <row r="325" spans="4:24" s="42" customFormat="1" x14ac:dyDescent="0.3">
      <c r="D325" s="43"/>
      <c r="F325" s="43"/>
      <c r="X325" s="46"/>
    </row>
    <row r="326" spans="4:24" s="42" customFormat="1" x14ac:dyDescent="0.3">
      <c r="D326" s="43"/>
      <c r="F326" s="43"/>
      <c r="X326" s="46"/>
    </row>
    <row r="327" spans="4:24" s="42" customFormat="1" x14ac:dyDescent="0.3">
      <c r="D327" s="43"/>
      <c r="F327" s="43"/>
      <c r="X327" s="46"/>
    </row>
    <row r="328" spans="4:24" s="42" customFormat="1" x14ac:dyDescent="0.3">
      <c r="D328" s="43"/>
      <c r="F328" s="43"/>
      <c r="X328" s="46"/>
    </row>
    <row r="329" spans="4:24" s="42" customFormat="1" x14ac:dyDescent="0.3">
      <c r="D329" s="43"/>
      <c r="F329" s="43"/>
      <c r="X329" s="46"/>
    </row>
    <row r="330" spans="4:24" s="42" customFormat="1" x14ac:dyDescent="0.3">
      <c r="D330" s="43"/>
      <c r="F330" s="43"/>
      <c r="X330" s="46"/>
    </row>
    <row r="331" spans="4:24" s="42" customFormat="1" x14ac:dyDescent="0.3">
      <c r="D331" s="43"/>
      <c r="F331" s="43"/>
      <c r="X331" s="46"/>
    </row>
    <row r="332" spans="4:24" s="42" customFormat="1" x14ac:dyDescent="0.3">
      <c r="D332" s="43"/>
      <c r="F332" s="43"/>
      <c r="X332" s="46"/>
    </row>
    <row r="333" spans="4:24" s="42" customFormat="1" x14ac:dyDescent="0.3">
      <c r="D333" s="43"/>
      <c r="F333" s="43"/>
      <c r="X333" s="46"/>
    </row>
    <row r="334" spans="4:24" s="42" customFormat="1" x14ac:dyDescent="0.3">
      <c r="D334" s="43"/>
      <c r="F334" s="43"/>
      <c r="X334" s="46"/>
    </row>
    <row r="335" spans="4:24" s="42" customFormat="1" x14ac:dyDescent="0.3">
      <c r="D335" s="43"/>
      <c r="F335" s="43"/>
      <c r="X335" s="46"/>
    </row>
    <row r="336" spans="4:24" s="42" customFormat="1" x14ac:dyDescent="0.3">
      <c r="D336" s="43"/>
      <c r="F336" s="43"/>
      <c r="X336" s="46"/>
    </row>
    <row r="337" spans="4:24" s="42" customFormat="1" x14ac:dyDescent="0.3">
      <c r="D337" s="43"/>
      <c r="F337" s="43"/>
      <c r="X337" s="46"/>
    </row>
    <row r="338" spans="4:24" s="42" customFormat="1" x14ac:dyDescent="0.3">
      <c r="D338" s="43"/>
      <c r="F338" s="43"/>
      <c r="X338" s="46"/>
    </row>
    <row r="339" spans="4:24" s="42" customFormat="1" x14ac:dyDescent="0.3">
      <c r="D339" s="43"/>
      <c r="F339" s="43"/>
      <c r="X339" s="46"/>
    </row>
    <row r="340" spans="4:24" s="42" customFormat="1" x14ac:dyDescent="0.3">
      <c r="D340" s="43"/>
      <c r="F340" s="43"/>
      <c r="X340" s="46"/>
    </row>
    <row r="341" spans="4:24" s="42" customFormat="1" x14ac:dyDescent="0.3">
      <c r="D341" s="43"/>
      <c r="F341" s="43"/>
      <c r="X341" s="46"/>
    </row>
    <row r="342" spans="4:24" s="42" customFormat="1" x14ac:dyDescent="0.3">
      <c r="D342" s="43"/>
      <c r="F342" s="43"/>
      <c r="X342" s="46"/>
    </row>
    <row r="343" spans="4:24" s="42" customFormat="1" x14ac:dyDescent="0.3">
      <c r="D343" s="43"/>
      <c r="F343" s="43"/>
      <c r="X343" s="46"/>
    </row>
    <row r="344" spans="4:24" s="42" customFormat="1" x14ac:dyDescent="0.3">
      <c r="D344" s="43"/>
      <c r="F344" s="43"/>
      <c r="X344" s="46"/>
    </row>
    <row r="345" spans="4:24" s="42" customFormat="1" x14ac:dyDescent="0.3">
      <c r="D345" s="43"/>
      <c r="F345" s="43"/>
      <c r="X345" s="46"/>
    </row>
    <row r="346" spans="4:24" s="42" customFormat="1" x14ac:dyDescent="0.3">
      <c r="D346" s="43"/>
      <c r="F346" s="43"/>
      <c r="X346" s="46"/>
    </row>
    <row r="347" spans="4:24" s="42" customFormat="1" x14ac:dyDescent="0.3">
      <c r="D347" s="43"/>
      <c r="F347" s="43"/>
      <c r="X347" s="46"/>
    </row>
    <row r="348" spans="4:24" s="42" customFormat="1" x14ac:dyDescent="0.3">
      <c r="D348" s="43"/>
      <c r="F348" s="43"/>
      <c r="X348" s="46"/>
    </row>
    <row r="349" spans="4:24" s="42" customFormat="1" x14ac:dyDescent="0.3">
      <c r="D349" s="43"/>
      <c r="F349" s="43"/>
      <c r="X349" s="46"/>
    </row>
    <row r="350" spans="4:24" s="42" customFormat="1" x14ac:dyDescent="0.3">
      <c r="D350" s="43"/>
      <c r="F350" s="43"/>
      <c r="X350" s="46"/>
    </row>
    <row r="351" spans="4:24" s="42" customFormat="1" x14ac:dyDescent="0.3">
      <c r="D351" s="43"/>
      <c r="F351" s="43"/>
      <c r="X351" s="46"/>
    </row>
    <row r="352" spans="4:24" s="42" customFormat="1" x14ac:dyDescent="0.3">
      <c r="D352" s="43"/>
      <c r="F352" s="43"/>
      <c r="X352" s="46"/>
    </row>
    <row r="353" spans="4:24" s="42" customFormat="1" x14ac:dyDescent="0.3">
      <c r="D353" s="43"/>
      <c r="F353" s="43"/>
      <c r="X353" s="46"/>
    </row>
    <row r="354" spans="4:24" s="42" customFormat="1" x14ac:dyDescent="0.3">
      <c r="D354" s="43"/>
      <c r="F354" s="43"/>
      <c r="X354" s="46"/>
    </row>
    <row r="355" spans="4:24" s="42" customFormat="1" x14ac:dyDescent="0.3">
      <c r="D355" s="43"/>
      <c r="F355" s="43"/>
      <c r="X355" s="46"/>
    </row>
    <row r="356" spans="4:24" s="42" customFormat="1" x14ac:dyDescent="0.3">
      <c r="D356" s="43"/>
      <c r="F356" s="43"/>
      <c r="X356" s="46"/>
    </row>
    <row r="357" spans="4:24" s="42" customFormat="1" x14ac:dyDescent="0.3">
      <c r="D357" s="43"/>
      <c r="F357" s="43"/>
      <c r="X357" s="46"/>
    </row>
    <row r="358" spans="4:24" s="42" customFormat="1" x14ac:dyDescent="0.3">
      <c r="D358" s="43"/>
      <c r="F358" s="43"/>
      <c r="X358" s="46"/>
    </row>
    <row r="359" spans="4:24" s="42" customFormat="1" x14ac:dyDescent="0.3">
      <c r="D359" s="43"/>
      <c r="F359" s="43"/>
      <c r="X359" s="46"/>
    </row>
    <row r="360" spans="4:24" s="42" customFormat="1" x14ac:dyDescent="0.3">
      <c r="D360" s="43"/>
      <c r="F360" s="43"/>
      <c r="X360" s="46"/>
    </row>
    <row r="361" spans="4:24" s="42" customFormat="1" x14ac:dyDescent="0.3">
      <c r="D361" s="43"/>
      <c r="F361" s="43"/>
      <c r="X361" s="46"/>
    </row>
    <row r="362" spans="4:24" s="42" customFormat="1" x14ac:dyDescent="0.3">
      <c r="D362" s="43"/>
      <c r="F362" s="43"/>
      <c r="X362" s="46"/>
    </row>
    <row r="363" spans="4:24" s="42" customFormat="1" x14ac:dyDescent="0.3">
      <c r="D363" s="43"/>
      <c r="F363" s="43"/>
      <c r="X363" s="46"/>
    </row>
    <row r="364" spans="4:24" s="42" customFormat="1" x14ac:dyDescent="0.3">
      <c r="D364" s="43"/>
      <c r="F364" s="43"/>
      <c r="X364" s="46"/>
    </row>
    <row r="365" spans="4:24" s="42" customFormat="1" x14ac:dyDescent="0.3">
      <c r="D365" s="43"/>
      <c r="F365" s="43"/>
      <c r="X365" s="46"/>
    </row>
    <row r="366" spans="4:24" s="42" customFormat="1" x14ac:dyDescent="0.3">
      <c r="D366" s="43"/>
      <c r="F366" s="43"/>
      <c r="X366" s="46"/>
    </row>
    <row r="367" spans="4:24" s="42" customFormat="1" x14ac:dyDescent="0.3">
      <c r="D367" s="43"/>
      <c r="F367" s="43"/>
      <c r="X367" s="46"/>
    </row>
    <row r="368" spans="4:24" s="42" customFormat="1" x14ac:dyDescent="0.3">
      <c r="D368" s="43"/>
      <c r="F368" s="43"/>
      <c r="X368" s="46"/>
    </row>
    <row r="369" spans="4:24" s="42" customFormat="1" x14ac:dyDescent="0.3">
      <c r="D369" s="43"/>
      <c r="F369" s="43"/>
      <c r="X369" s="46"/>
    </row>
    <row r="370" spans="4:24" s="42" customFormat="1" x14ac:dyDescent="0.3">
      <c r="D370" s="43"/>
      <c r="F370" s="43"/>
      <c r="X370" s="46"/>
    </row>
    <row r="371" spans="4:24" s="42" customFormat="1" x14ac:dyDescent="0.3">
      <c r="D371" s="43"/>
      <c r="F371" s="43"/>
      <c r="X371" s="46"/>
    </row>
    <row r="372" spans="4:24" s="42" customFormat="1" x14ac:dyDescent="0.3">
      <c r="D372" s="43"/>
      <c r="F372" s="43"/>
      <c r="X372" s="46"/>
    </row>
    <row r="373" spans="4:24" s="42" customFormat="1" x14ac:dyDescent="0.3">
      <c r="D373" s="43"/>
      <c r="F373" s="43"/>
      <c r="X373" s="46"/>
    </row>
    <row r="374" spans="4:24" s="42" customFormat="1" x14ac:dyDescent="0.3">
      <c r="D374" s="43"/>
      <c r="F374" s="43"/>
      <c r="X374" s="46"/>
    </row>
    <row r="375" spans="4:24" s="42" customFormat="1" x14ac:dyDescent="0.3">
      <c r="D375" s="43"/>
      <c r="F375" s="43"/>
      <c r="X375" s="46"/>
    </row>
    <row r="376" spans="4:24" s="42" customFormat="1" x14ac:dyDescent="0.3">
      <c r="D376" s="43"/>
      <c r="F376" s="43"/>
      <c r="X376" s="46"/>
    </row>
    <row r="377" spans="4:24" s="42" customFormat="1" x14ac:dyDescent="0.3">
      <c r="D377" s="43"/>
      <c r="F377" s="43"/>
      <c r="X377" s="46"/>
    </row>
    <row r="378" spans="4:24" s="42" customFormat="1" x14ac:dyDescent="0.3">
      <c r="D378" s="43"/>
      <c r="F378" s="43"/>
      <c r="X378" s="46"/>
    </row>
    <row r="379" spans="4:24" s="42" customFormat="1" x14ac:dyDescent="0.3">
      <c r="D379" s="43"/>
      <c r="F379" s="43"/>
      <c r="X379" s="46"/>
    </row>
    <row r="380" spans="4:24" s="42" customFormat="1" x14ac:dyDescent="0.3">
      <c r="D380" s="43"/>
      <c r="F380" s="43"/>
      <c r="X380" s="46"/>
    </row>
    <row r="381" spans="4:24" s="42" customFormat="1" x14ac:dyDescent="0.3">
      <c r="D381" s="43"/>
      <c r="F381" s="43"/>
      <c r="X381" s="46"/>
    </row>
    <row r="382" spans="4:24" s="42" customFormat="1" x14ac:dyDescent="0.3">
      <c r="D382" s="43"/>
      <c r="F382" s="43"/>
      <c r="X382" s="46"/>
    </row>
    <row r="383" spans="4:24" s="42" customFormat="1" x14ac:dyDescent="0.3">
      <c r="D383" s="43"/>
      <c r="F383" s="43"/>
      <c r="X383" s="46"/>
    </row>
    <row r="384" spans="4:24" s="42" customFormat="1" x14ac:dyDescent="0.3">
      <c r="D384" s="43"/>
      <c r="F384" s="43"/>
      <c r="X384" s="46"/>
    </row>
    <row r="385" spans="4:24" s="42" customFormat="1" x14ac:dyDescent="0.3">
      <c r="D385" s="43"/>
      <c r="F385" s="43"/>
      <c r="X385" s="46"/>
    </row>
    <row r="386" spans="4:24" s="42" customFormat="1" x14ac:dyDescent="0.3">
      <c r="D386" s="43"/>
      <c r="F386" s="43"/>
      <c r="X386" s="46"/>
    </row>
    <row r="387" spans="4:24" s="42" customFormat="1" x14ac:dyDescent="0.3">
      <c r="D387" s="43"/>
      <c r="F387" s="43"/>
      <c r="X387" s="46"/>
    </row>
    <row r="388" spans="4:24" s="42" customFormat="1" x14ac:dyDescent="0.3">
      <c r="D388" s="43"/>
      <c r="F388" s="43"/>
      <c r="X388" s="46"/>
    </row>
    <row r="389" spans="4:24" s="42" customFormat="1" x14ac:dyDescent="0.3">
      <c r="D389" s="43"/>
      <c r="F389" s="43"/>
      <c r="X389" s="46"/>
    </row>
    <row r="390" spans="4:24" s="42" customFormat="1" x14ac:dyDescent="0.3">
      <c r="D390" s="43"/>
      <c r="F390" s="43"/>
      <c r="X390" s="46"/>
    </row>
    <row r="391" spans="4:24" s="42" customFormat="1" x14ac:dyDescent="0.3">
      <c r="D391" s="43"/>
      <c r="F391" s="43"/>
      <c r="X391" s="46"/>
    </row>
    <row r="392" spans="4:24" s="42" customFormat="1" x14ac:dyDescent="0.3">
      <c r="D392" s="43"/>
      <c r="F392" s="43"/>
      <c r="X392" s="46"/>
    </row>
    <row r="393" spans="4:24" s="42" customFormat="1" x14ac:dyDescent="0.3">
      <c r="D393" s="43"/>
      <c r="F393" s="43"/>
      <c r="X393" s="46"/>
    </row>
    <row r="394" spans="4:24" s="42" customFormat="1" x14ac:dyDescent="0.3">
      <c r="D394" s="43"/>
      <c r="F394" s="43"/>
      <c r="X394" s="46"/>
    </row>
    <row r="395" spans="4:24" s="42" customFormat="1" x14ac:dyDescent="0.3">
      <c r="D395" s="43"/>
      <c r="F395" s="43"/>
      <c r="X395" s="46"/>
    </row>
    <row r="396" spans="4:24" s="42" customFormat="1" x14ac:dyDescent="0.3">
      <c r="D396" s="43"/>
      <c r="F396" s="43"/>
      <c r="X396" s="46"/>
    </row>
    <row r="397" spans="4:24" s="42" customFormat="1" x14ac:dyDescent="0.3">
      <c r="D397" s="43"/>
      <c r="F397" s="43"/>
      <c r="X397" s="46"/>
    </row>
    <row r="398" spans="4:24" s="42" customFormat="1" x14ac:dyDescent="0.3">
      <c r="D398" s="43"/>
      <c r="F398" s="43"/>
      <c r="X398" s="46"/>
    </row>
    <row r="399" spans="4:24" s="42" customFormat="1" x14ac:dyDescent="0.3">
      <c r="D399" s="43"/>
      <c r="F399" s="43"/>
      <c r="X399" s="46"/>
    </row>
    <row r="400" spans="4:24" s="42" customFormat="1" x14ac:dyDescent="0.3">
      <c r="D400" s="43"/>
      <c r="F400" s="43"/>
      <c r="X400" s="46"/>
    </row>
    <row r="401" spans="4:24" s="42" customFormat="1" x14ac:dyDescent="0.3">
      <c r="D401" s="43"/>
      <c r="F401" s="43"/>
      <c r="X401" s="46"/>
    </row>
    <row r="402" spans="4:24" s="42" customFormat="1" x14ac:dyDescent="0.3">
      <c r="D402" s="43"/>
      <c r="F402" s="43"/>
      <c r="X402" s="46"/>
    </row>
    <row r="403" spans="4:24" s="42" customFormat="1" x14ac:dyDescent="0.3">
      <c r="D403" s="43"/>
      <c r="F403" s="43"/>
      <c r="X403" s="46"/>
    </row>
    <row r="404" spans="4:24" s="42" customFormat="1" x14ac:dyDescent="0.3">
      <c r="D404" s="43"/>
      <c r="F404" s="43"/>
      <c r="X404" s="46"/>
    </row>
    <row r="405" spans="4:24" s="42" customFormat="1" x14ac:dyDescent="0.3">
      <c r="D405" s="43"/>
      <c r="F405" s="43"/>
      <c r="X405" s="46"/>
    </row>
    <row r="406" spans="4:24" s="42" customFormat="1" x14ac:dyDescent="0.3">
      <c r="D406" s="43"/>
      <c r="F406" s="43"/>
      <c r="X406" s="46"/>
    </row>
    <row r="407" spans="4:24" s="42" customFormat="1" x14ac:dyDescent="0.3">
      <c r="D407" s="43"/>
      <c r="F407" s="43"/>
      <c r="X407" s="46"/>
    </row>
    <row r="408" spans="4:24" s="42" customFormat="1" x14ac:dyDescent="0.3">
      <c r="D408" s="43"/>
      <c r="F408" s="43"/>
      <c r="X408" s="46"/>
    </row>
    <row r="409" spans="4:24" s="42" customFormat="1" x14ac:dyDescent="0.3">
      <c r="D409" s="43"/>
      <c r="F409" s="43"/>
      <c r="X409" s="46"/>
    </row>
    <row r="410" spans="4:24" s="42" customFormat="1" x14ac:dyDescent="0.3">
      <c r="D410" s="43"/>
      <c r="F410" s="43"/>
      <c r="X410" s="46"/>
    </row>
    <row r="411" spans="4:24" s="42" customFormat="1" x14ac:dyDescent="0.3">
      <c r="D411" s="43"/>
      <c r="F411" s="43"/>
      <c r="X411" s="46"/>
    </row>
    <row r="412" spans="4:24" s="42" customFormat="1" x14ac:dyDescent="0.3">
      <c r="D412" s="43"/>
      <c r="F412" s="43"/>
      <c r="X412" s="46"/>
    </row>
    <row r="413" spans="4:24" s="42" customFormat="1" x14ac:dyDescent="0.3">
      <c r="D413" s="43"/>
      <c r="F413" s="43"/>
      <c r="X413" s="46"/>
    </row>
    <row r="414" spans="4:24" s="42" customFormat="1" x14ac:dyDescent="0.3">
      <c r="D414" s="43"/>
      <c r="F414" s="43"/>
      <c r="X414" s="46"/>
    </row>
    <row r="415" spans="4:24" s="42" customFormat="1" x14ac:dyDescent="0.3">
      <c r="D415" s="43"/>
      <c r="F415" s="43"/>
      <c r="X415" s="46"/>
    </row>
    <row r="416" spans="4:24" s="42" customFormat="1" x14ac:dyDescent="0.3">
      <c r="D416" s="43"/>
      <c r="F416" s="43"/>
      <c r="X416" s="46"/>
    </row>
    <row r="417" spans="4:24" s="42" customFormat="1" x14ac:dyDescent="0.3">
      <c r="D417" s="43"/>
      <c r="F417" s="43"/>
      <c r="X417" s="46"/>
    </row>
    <row r="418" spans="4:24" s="42" customFormat="1" x14ac:dyDescent="0.3">
      <c r="D418" s="43"/>
      <c r="F418" s="43"/>
      <c r="X418" s="46"/>
    </row>
    <row r="419" spans="4:24" s="42" customFormat="1" x14ac:dyDescent="0.3">
      <c r="D419" s="43"/>
      <c r="F419" s="43"/>
      <c r="X419" s="46"/>
    </row>
    <row r="420" spans="4:24" s="42" customFormat="1" x14ac:dyDescent="0.3">
      <c r="D420" s="43"/>
      <c r="F420" s="43"/>
      <c r="X420" s="46"/>
    </row>
    <row r="421" spans="4:24" s="42" customFormat="1" x14ac:dyDescent="0.3">
      <c r="D421" s="43"/>
      <c r="F421" s="43"/>
      <c r="X421" s="46"/>
    </row>
    <row r="422" spans="4:24" s="42" customFormat="1" x14ac:dyDescent="0.3">
      <c r="D422" s="43"/>
      <c r="F422" s="43"/>
      <c r="X422" s="46"/>
    </row>
    <row r="423" spans="4:24" s="42" customFormat="1" x14ac:dyDescent="0.3">
      <c r="D423" s="43"/>
      <c r="F423" s="43"/>
      <c r="X423" s="46"/>
    </row>
    <row r="424" spans="4:24" s="42" customFormat="1" x14ac:dyDescent="0.3">
      <c r="D424" s="43"/>
      <c r="F424" s="43"/>
      <c r="X424" s="46"/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A1:XFD14 A16:XFD1048576 A15:D15 F15:XFD15">
    <cfRule type="cellIs" dxfId="1" priority="3" operator="equal">
      <formula>-1</formula>
    </cfRule>
  </conditionalFormatting>
  <conditionalFormatting sqref="A1:X14 A16:X40 A15:D15 F15:X15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2">
        <f>SUMIF(H2:H40, 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G17" sqref="G1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164</v>
      </c>
    </row>
    <row r="2" spans="1:7" s="39" customFormat="1" ht="21" x14ac:dyDescent="0.4">
      <c r="B2" s="39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2">
        <f>VLOOKUP(A6, Dataset!A1:X40, 7, FALSE)</f>
        <v>2.7</v>
      </c>
      <c r="C6" s="12">
        <f>VLOOKUP(Task_2!A6, Dataset!A1:X40, 14, FALSE)</f>
        <v>7.6</v>
      </c>
      <c r="D6" s="12">
        <f>VLOOKUP(A6, Dataset!A1:X40, 18, FALSE)</f>
        <v>4.2</v>
      </c>
      <c r="E6" s="12">
        <f>VLOOKUP(A6, Dataset!A1:X40, 20, FALSE)</f>
        <v>8.9</v>
      </c>
      <c r="F6" s="8">
        <f>VLOOKUP(A6, Dataset!A1:X40, 22, FALSE)</f>
        <v>4.2</v>
      </c>
    </row>
    <row r="7" spans="1:7" ht="14.4" x14ac:dyDescent="0.3">
      <c r="A7" s="7" t="s">
        <v>4</v>
      </c>
      <c r="B7" s="12">
        <f>VLOOKUP(A7, Dataset!A2:X41, 7, FALSE)</f>
        <v>2.7</v>
      </c>
      <c r="C7" s="12">
        <f>VLOOKUP(Task_2!A7, Dataset!A2:X41, 14, FALSE)</f>
        <v>7.6</v>
      </c>
      <c r="D7" s="12">
        <f>VLOOKUP(A7, Dataset!A2:X41, 18, FALSE)</f>
        <v>4.2</v>
      </c>
      <c r="E7" s="12">
        <f>VLOOKUP(A7, Dataset!A2:X41, 20, FALSE)</f>
        <v>8.9</v>
      </c>
      <c r="F7" s="8">
        <f>VLOOKUP(A7, Dataset!A2:X41, 22, FALSE)</f>
        <v>4.2</v>
      </c>
    </row>
    <row r="8" spans="1:7" ht="14.4" x14ac:dyDescent="0.3">
      <c r="A8" s="7" t="s">
        <v>7</v>
      </c>
      <c r="B8" s="12">
        <f>VLOOKUP(A8, Dataset!A3:X42, 7, FALSE)</f>
        <v>3.6</v>
      </c>
      <c r="C8" s="12">
        <f>VLOOKUP(Task_2!A8, Dataset!A3:X42, 14, FALSE)</f>
        <v>11.1</v>
      </c>
      <c r="D8" s="12">
        <f>VLOOKUP(A8, Dataset!A3:X42, 18, FALSE)</f>
        <v>5.8</v>
      </c>
      <c r="E8" s="12">
        <f>VLOOKUP(A8, Dataset!A3:X42, 20, FALSE)</f>
        <v>12.2</v>
      </c>
      <c r="F8" s="8">
        <f>VLOOKUP(A8, Dataset!A3:X42, 22, FALSE)</f>
        <v>5.8</v>
      </c>
    </row>
    <row r="9" spans="1:7" ht="14.4" x14ac:dyDescent="0.3">
      <c r="A9" s="7" t="s">
        <v>8</v>
      </c>
      <c r="B9" s="12">
        <f>VLOOKUP(A9, Dataset!A4:X43, 7, FALSE)</f>
        <v>4.9000000000000004</v>
      </c>
      <c r="C9" s="12">
        <f>VLOOKUP(Task_2!A9, Dataset!A4:X43, 14, FALSE)</f>
        <v>13.3</v>
      </c>
      <c r="D9" s="12">
        <f>VLOOKUP(A9, Dataset!A4:X43, 18, FALSE)</f>
        <v>8.1</v>
      </c>
      <c r="E9" s="12">
        <f>VLOOKUP(A9, Dataset!A4:X43, 20, FALSE)</f>
        <v>17</v>
      </c>
      <c r="F9" s="8">
        <f>VLOOKUP(A9, Dataset!A4:X43, 22, FALSE)</f>
        <v>8.1</v>
      </c>
    </row>
    <row r="10" spans="1:7" ht="14.4" x14ac:dyDescent="0.3">
      <c r="A10" s="7" t="s">
        <v>11</v>
      </c>
      <c r="B10" s="12">
        <f>VLOOKUP(A10, Dataset!A5:X44, 7, FALSE)</f>
        <v>9.4</v>
      </c>
      <c r="C10" s="12">
        <f>VLOOKUP(Task_2!A10, Dataset!A5:X44, 14, FALSE)</f>
        <v>28.3</v>
      </c>
      <c r="D10" s="12">
        <f>VLOOKUP(A10, Dataset!A5:X44, 18, FALSE)</f>
        <v>16.100000000000001</v>
      </c>
      <c r="E10" s="12">
        <f>VLOOKUP(A10, Dataset!A5:X44, 20, FALSE)</f>
        <v>32.799999999999997</v>
      </c>
      <c r="F10" s="8">
        <f>VLOOKUP(A10, Dataset!A5:X44, 22, FALSE)</f>
        <v>16.100000000000001</v>
      </c>
    </row>
    <row r="11" spans="1:7" ht="14.4" x14ac:dyDescent="0.3">
      <c r="A11" s="7" t="s">
        <v>12</v>
      </c>
      <c r="B11" s="12">
        <f>VLOOKUP(A11, Dataset!A6:X45, 7, FALSE)</f>
        <v>11.6</v>
      </c>
      <c r="C11" s="12">
        <f>VLOOKUP(Task_2!A11, Dataset!A6:X45, 14, FALSE)</f>
        <v>35.200000000000003</v>
      </c>
      <c r="D11" s="12">
        <f>VLOOKUP(A11, Dataset!A6:X45, 18, FALSE)</f>
        <v>21.3</v>
      </c>
      <c r="E11" s="12">
        <f>VLOOKUP(A11, Dataset!A6:X45, 20, FALSE)</f>
        <v>43</v>
      </c>
      <c r="F11" s="8">
        <f>VLOOKUP(A11, Dataset!A6:X45, 22, FALSE)</f>
        <v>21.3</v>
      </c>
    </row>
    <row r="12" spans="1:7" ht="14.4" x14ac:dyDescent="0.3">
      <c r="A12" s="7" t="s">
        <v>14</v>
      </c>
      <c r="B12" s="12">
        <f>VLOOKUP(A12, Dataset!A7:X46, 7, FALSE)</f>
        <v>18.399999999999999</v>
      </c>
      <c r="C12" s="12">
        <f>VLOOKUP(Task_2!A12, Dataset!A7:X46, 14, FALSE)</f>
        <v>55.6</v>
      </c>
      <c r="D12" s="12">
        <f>VLOOKUP(A12, Dataset!A7:X46, 18, FALSE)</f>
        <v>33.799999999999997</v>
      </c>
      <c r="E12" s="12">
        <f>VLOOKUP(A12, Dataset!A7:X46, 20, FALSE)</f>
        <v>67.900000000000006</v>
      </c>
      <c r="F12" s="8">
        <f>VLOOKUP(A12, Dataset!A7:X46, 22, FALSE)</f>
        <v>33.799999999999997</v>
      </c>
    </row>
    <row r="13" spans="1:7" ht="14.4" x14ac:dyDescent="0.3">
      <c r="A13" s="7" t="s">
        <v>15</v>
      </c>
      <c r="B13" s="12">
        <f>VLOOKUP(A13, Dataset!A8:X47, 7, FALSE)</f>
        <v>0</v>
      </c>
      <c r="C13" s="12">
        <f>VLOOKUP(Task_2!A13, Dataset!A8:X47, 14, FALSE)</f>
        <v>0</v>
      </c>
      <c r="D13" s="12">
        <f>VLOOKUP(A13, Dataset!A8:X47, 18, FALSE)</f>
        <v>0</v>
      </c>
      <c r="E13" s="12">
        <f>VLOOKUP(A13, Dataset!A8:X47, 20, FALSE)</f>
        <v>0</v>
      </c>
      <c r="F13" s="8">
        <f>VLOOKUP(A13, Dataset!A8:X47, 22, FALSE)</f>
        <v>0</v>
      </c>
    </row>
    <row r="14" spans="1:7" ht="14.4" x14ac:dyDescent="0.3">
      <c r="A14" s="7" t="s">
        <v>16</v>
      </c>
      <c r="B14" s="12">
        <f>VLOOKUP(A14, Dataset!A9:X48, 7, FALSE)</f>
        <v>21.9</v>
      </c>
      <c r="C14" s="12">
        <f>VLOOKUP(Task_2!A14, Dataset!A9:X48, 14, FALSE)</f>
        <v>61.5</v>
      </c>
      <c r="D14" s="12">
        <f>VLOOKUP(A14, Dataset!A9:X48, 18, FALSE)</f>
        <v>40.1</v>
      </c>
      <c r="E14" s="12">
        <f>VLOOKUP(A14, Dataset!A9:X48, 20, FALSE)</f>
        <v>76.599999999999994</v>
      </c>
      <c r="F14" s="8">
        <f>VLOOKUP(A14, Dataset!A9:X48, 22, FALSE)</f>
        <v>40.1</v>
      </c>
    </row>
    <row r="15" spans="1:7" ht="14.4" x14ac:dyDescent="0.3">
      <c r="A15" s="7" t="s">
        <v>18</v>
      </c>
      <c r="B15" s="12">
        <f>VLOOKUP(A15, Dataset!A10:X49, 7, FALSE)</f>
        <v>26.8</v>
      </c>
      <c r="C15" s="12">
        <f>VLOOKUP(Task_2!A15, Dataset!A10:X49, 14, FALSE)</f>
        <v>79.599999999999994</v>
      </c>
      <c r="D15" s="12">
        <f>VLOOKUP(A15, Dataset!A10:X49, 18, FALSE)</f>
        <v>47.9</v>
      </c>
      <c r="E15" s="12">
        <f>VLOOKUP(A15, Dataset!A10:X49, 20, FALSE)</f>
        <v>96.8</v>
      </c>
      <c r="F15" s="8">
        <f>VLOOKUP(A15, Dataset!A10:X49, 22, FALSE)</f>
        <v>47.9</v>
      </c>
    </row>
    <row r="16" spans="1:7" ht="14.4" x14ac:dyDescent="0.3">
      <c r="A16" s="7" t="s">
        <v>20</v>
      </c>
      <c r="B16" s="12">
        <f>VLOOKUP(A16, Dataset!A11:X50, 7, FALSE)</f>
        <v>28.5</v>
      </c>
      <c r="C16" s="12">
        <f>VLOOKUP(Task_2!A16, Dataset!A11:X50, 14, FALSE)</f>
        <v>85.4</v>
      </c>
      <c r="D16" s="12">
        <f>VLOOKUP(A16, Dataset!A11:X50, 18, FALSE)</f>
        <v>52.3</v>
      </c>
      <c r="E16" s="12">
        <f>VLOOKUP(A16, Dataset!A11:X50, 20, FALSE)</f>
        <v>106.1</v>
      </c>
      <c r="F16" s="8">
        <f>VLOOKUP(A16, Dataset!A11:X50, 22, FALSE)</f>
        <v>52.3</v>
      </c>
    </row>
    <row r="17" spans="1:6" ht="14.4" x14ac:dyDescent="0.3">
      <c r="A17" s="7" t="s">
        <v>22</v>
      </c>
      <c r="B17" s="12">
        <f>VLOOKUP(A17, Dataset!A12:X51, 7, FALSE)</f>
        <v>30.7</v>
      </c>
      <c r="C17" s="12">
        <f>VLOOKUP(Task_2!A17, Dataset!A12:X51, 14, FALSE)</f>
        <v>92.1</v>
      </c>
      <c r="D17" s="12">
        <f>VLOOKUP(A17, Dataset!A12:X51, 18, FALSE)</f>
        <v>57</v>
      </c>
      <c r="E17" s="12">
        <f>VLOOKUP(A17, Dataset!A12:X51, 20, FALSE)</f>
        <v>115.1</v>
      </c>
      <c r="F17" s="8">
        <f>VLOOKUP(A17, Dataset!A12:X51, 22, FALSE)</f>
        <v>57</v>
      </c>
    </row>
    <row r="18" spans="1:6" ht="14.4" x14ac:dyDescent="0.3">
      <c r="A18" s="7" t="s">
        <v>23</v>
      </c>
      <c r="B18" s="12">
        <f>VLOOKUP(A18, Dataset!A13:X52, 7, FALSE)</f>
        <v>33.799999999999997</v>
      </c>
      <c r="C18" s="12">
        <f>VLOOKUP(Task_2!A18, Dataset!A13:X52, 14, FALSE)</f>
        <v>101.3</v>
      </c>
      <c r="D18" s="12">
        <f>VLOOKUP(A18, Dataset!A13:X52, 18, FALSE)</f>
        <v>61.4</v>
      </c>
      <c r="E18" s="12">
        <f>VLOOKUP(A18, Dataset!A13:X52, 20, FALSE)</f>
        <v>124.4</v>
      </c>
      <c r="F18" s="8">
        <f>VLOOKUP(A18, Dataset!A13:X52, 22, FALSE)</f>
        <v>61.4</v>
      </c>
    </row>
    <row r="19" spans="1:6" ht="14.4" x14ac:dyDescent="0.3">
      <c r="A19" s="7" t="s">
        <v>24</v>
      </c>
      <c r="B19" s="12">
        <f>VLOOKUP(A19, Dataset!A14:X53, 7, FALSE)</f>
        <v>34.700000000000003</v>
      </c>
      <c r="C19" s="12">
        <f>VLOOKUP(Task_2!A19, Dataset!A14:X53, 14, FALSE)</f>
        <v>106.1</v>
      </c>
      <c r="D19" s="12">
        <f>VLOOKUP(A19, Dataset!A14:X53, 18, FALSE)</f>
        <v>63.6</v>
      </c>
      <c r="E19" s="12">
        <f>VLOOKUP(A19, Dataset!A14:X53, 20, FALSE)</f>
        <v>128.6</v>
      </c>
      <c r="F19" s="8">
        <f>VLOOKUP(A19, Dataset!A14:X53, 22, FALSE)</f>
        <v>63.6</v>
      </c>
    </row>
    <row r="20" spans="1:6" ht="14.4" x14ac:dyDescent="0.3">
      <c r="A20" s="7" t="s">
        <v>28</v>
      </c>
      <c r="B20" s="12">
        <f>VLOOKUP(A20, Dataset!A15:X54, 7, FALSE)</f>
        <v>0</v>
      </c>
      <c r="C20" s="12">
        <f>VLOOKUP(Task_2!A20, Dataset!A15:X54, 14, FALSE)</f>
        <v>0</v>
      </c>
      <c r="D20" s="12">
        <f>VLOOKUP(A20, Dataset!A15:X54, 18, FALSE)</f>
        <v>0</v>
      </c>
      <c r="E20" s="12">
        <f>VLOOKUP(A20, Dataset!A15:X54, 20, FALSE)</f>
        <v>0</v>
      </c>
      <c r="F20" s="8">
        <f>VLOOKUP(A20, Dataset!A15:X54, 22, FALSE)</f>
        <v>0</v>
      </c>
    </row>
    <row r="21" spans="1:6" ht="14.4" x14ac:dyDescent="0.3">
      <c r="A21" s="7" t="s">
        <v>57</v>
      </c>
      <c r="B21" s="12">
        <f>VLOOKUP(A21, Dataset!A16:X55, 7, FALSE)</f>
        <v>41.3</v>
      </c>
      <c r="C21" s="12">
        <f>VLOOKUP(Task_2!A21, Dataset!A16:X55, 14, FALSE)</f>
        <v>124.4</v>
      </c>
      <c r="D21" s="12">
        <f>VLOOKUP(A21, Dataset!A16:X55, 18, FALSE)</f>
        <v>75</v>
      </c>
      <c r="E21" s="12">
        <f>VLOOKUP(A21, Dataset!A16:X55, 20, FALSE)</f>
        <v>151.5</v>
      </c>
      <c r="F21" s="8">
        <f>VLOOKUP(A21, Dataset!A16:X55, 22, FALSE)</f>
        <v>75</v>
      </c>
    </row>
    <row r="22" spans="1:6" ht="14.4" x14ac:dyDescent="0.3">
      <c r="A22" s="7" t="s">
        <v>58</v>
      </c>
      <c r="B22" s="12">
        <f>VLOOKUP(A22, Dataset!A17:X56, 7, FALSE)</f>
        <v>-1</v>
      </c>
      <c r="C22" s="12">
        <f>VLOOKUP(Task_2!A22, Dataset!A17:X56, 14, FALSE)</f>
        <v>-1</v>
      </c>
      <c r="D22" s="12">
        <f>VLOOKUP(A22, Dataset!A17:X56, 18, FALSE)</f>
        <v>-1</v>
      </c>
      <c r="E22" s="12">
        <f>VLOOKUP(A22, Dataset!A17:X56, 20, FALSE)</f>
        <v>-1</v>
      </c>
      <c r="F22" s="8">
        <f>VLOOKUP(A22, Dataset!A17:X56, 22, FALSE)</f>
        <v>-1</v>
      </c>
    </row>
    <row r="23" spans="1:6" ht="14.4" x14ac:dyDescent="0.3">
      <c r="A23" s="7" t="s">
        <v>31</v>
      </c>
      <c r="B23" s="12">
        <f>VLOOKUP(A23, Dataset!A18:X57, 7, FALSE)</f>
        <v>45</v>
      </c>
      <c r="C23" s="12">
        <f>VLOOKUP(Task_2!A23, Dataset!A18:X57, 14, FALSE)</f>
        <v>133.4</v>
      </c>
      <c r="D23" s="12">
        <f>VLOOKUP(A23, Dataset!A18:X57, 18, FALSE)</f>
        <v>79.400000000000006</v>
      </c>
      <c r="E23" s="12">
        <f>VLOOKUP(A23, Dataset!A18:X57, 20, FALSE)</f>
        <v>160.9</v>
      </c>
      <c r="F23" s="8">
        <f>VLOOKUP(A23, Dataset!A18:X57, 22, FALSE)</f>
        <v>79.400000000000006</v>
      </c>
    </row>
    <row r="24" spans="1:6" ht="14.4" x14ac:dyDescent="0.3">
      <c r="A24" s="7" t="s">
        <v>32</v>
      </c>
      <c r="B24" s="12">
        <f>VLOOKUP(A24, Dataset!A19:X58, 7, FALSE)</f>
        <v>-1</v>
      </c>
      <c r="C24" s="12">
        <f>VLOOKUP(Task_2!A24, Dataset!A19:X58, 14, FALSE)</f>
        <v>-1</v>
      </c>
      <c r="D24" s="12">
        <f>VLOOKUP(A24, Dataset!A19:X58, 18, FALSE)</f>
        <v>-1</v>
      </c>
      <c r="E24" s="12">
        <f>VLOOKUP(A24, Dataset!A19:X58, 20, FALSE)</f>
        <v>-1</v>
      </c>
      <c r="F24" s="8">
        <f>VLOOKUP(A24, Dataset!A19:X58, 22, FALSE)</f>
        <v>-1</v>
      </c>
    </row>
    <row r="25" spans="1:6" ht="14.4" x14ac:dyDescent="0.3">
      <c r="A25" s="7" t="s">
        <v>34</v>
      </c>
      <c r="B25" s="12">
        <f>VLOOKUP(A25, Dataset!A20:X59, 7, FALSE)</f>
        <v>43.3</v>
      </c>
      <c r="C25" s="12">
        <f>VLOOKUP(Task_2!A25, Dataset!A20:X59, 14, FALSE)</f>
        <v>128.6</v>
      </c>
      <c r="D25" s="12">
        <f>VLOOKUP(A25, Dataset!A20:X59, 18, FALSE)</f>
        <v>79.400000000000006</v>
      </c>
      <c r="E25" s="12">
        <f>VLOOKUP(A25, Dataset!A20:X59, 20, FALSE)</f>
        <v>160.9</v>
      </c>
      <c r="F25" s="8">
        <f>VLOOKUP(A25, Dataset!A20:X59, 22, FALSE)</f>
        <v>79.400000000000006</v>
      </c>
    </row>
    <row r="26" spans="1:6" ht="14.4" x14ac:dyDescent="0.3">
      <c r="A26" s="7" t="s">
        <v>37</v>
      </c>
      <c r="B26" s="12">
        <f>VLOOKUP(A26, Dataset!A21:X60, 7, FALSE)</f>
        <v>49.1</v>
      </c>
      <c r="C26" s="12">
        <f>VLOOKUP(Task_2!A26, Dataset!A21:X60, 14, FALSE)</f>
        <v>146.80000000000001</v>
      </c>
      <c r="D26" s="12">
        <f>VLOOKUP(A26, Dataset!A21:X60, 18, FALSE)</f>
        <v>90.9</v>
      </c>
      <c r="E26" s="12">
        <f>VLOOKUP(A26, Dataset!A21:X60, 20, FALSE)</f>
        <v>183.5</v>
      </c>
      <c r="F26" s="8">
        <f>VLOOKUP(A26, Dataset!A21:X60, 22, FALSE)</f>
        <v>90.9</v>
      </c>
    </row>
    <row r="27" spans="1:6" ht="14.4" x14ac:dyDescent="0.3">
      <c r="A27" s="7" t="s">
        <v>39</v>
      </c>
      <c r="B27" s="12">
        <f>VLOOKUP(A27, Dataset!A22:X61, 7, FALSE)</f>
        <v>51.8</v>
      </c>
      <c r="C27" s="12">
        <f>VLOOKUP(Task_2!A27, Dataset!A22:X61, 14, FALSE)</f>
        <v>156.4</v>
      </c>
      <c r="D27" s="12">
        <f>VLOOKUP(A27, Dataset!A22:X61, 18, FALSE)</f>
        <v>93.1</v>
      </c>
      <c r="E27" s="12">
        <f>VLOOKUP(A27, Dataset!A22:X61, 20, FALSE)</f>
        <v>188.1</v>
      </c>
      <c r="F27" s="8">
        <f>VLOOKUP(A27, Dataset!A22:X61, 22, FALSE)</f>
        <v>93.1</v>
      </c>
    </row>
    <row r="28" spans="1:6" ht="14.4" x14ac:dyDescent="0.3">
      <c r="A28" s="18" t="s">
        <v>82</v>
      </c>
      <c r="B28" s="18">
        <f>MIN(B6:B27)</f>
        <v>-1</v>
      </c>
      <c r="C28" s="18">
        <f>MIN(C6:C27)</f>
        <v>-1</v>
      </c>
      <c r="D28" s="18">
        <f>MIN(D6:D27)</f>
        <v>-1</v>
      </c>
      <c r="E28" s="18">
        <f>+MIN(E6:E27)</f>
        <v>-1</v>
      </c>
      <c r="F28" s="18">
        <f>MIN(F6:F27)</f>
        <v>-1</v>
      </c>
    </row>
    <row r="29" spans="1:6" ht="14.4" x14ac:dyDescent="0.3">
      <c r="A29" s="18" t="s">
        <v>83</v>
      </c>
      <c r="B29" s="18">
        <f>MAX(B6:B27)</f>
        <v>51.8</v>
      </c>
      <c r="C29" s="18">
        <f>MAX(C6:C28)</f>
        <v>156.4</v>
      </c>
      <c r="D29" s="18">
        <f>MAX(D6:D27)</f>
        <v>93.1</v>
      </c>
      <c r="E29" s="18">
        <f>MAX(E6:E27)</f>
        <v>188.1</v>
      </c>
      <c r="F29" s="18">
        <f>MAX(F6:F27)</f>
        <v>93.1</v>
      </c>
    </row>
    <row r="30" spans="1:6" ht="14.4" x14ac:dyDescent="0.3">
      <c r="A30" s="18" t="s">
        <v>84</v>
      </c>
      <c r="B30" s="18">
        <f>AVERAGE(B6:B27)</f>
        <v>20.827272727272728</v>
      </c>
      <c r="C30" s="18">
        <f>AVERAGE(C6:C27)</f>
        <v>62.377272727272725</v>
      </c>
      <c r="D30" s="18">
        <f>AVERAGE(D6:D27)</f>
        <v>37.800000000000004</v>
      </c>
      <c r="E30" s="18">
        <f>AVERAGE(E6:E27)</f>
        <v>76.418181818181822</v>
      </c>
      <c r="F30" s="18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" zoomScaleNormal="100" workbookViewId="0">
      <selection activeCell="B12" sqref="B12"/>
    </sheetView>
  </sheetViews>
  <sheetFormatPr defaultColWidth="11" defaultRowHeight="14.4" x14ac:dyDescent="0.3"/>
  <cols>
    <col min="1" max="1" width="39.77734375" style="1" bestFit="1" customWidth="1"/>
    <col min="2" max="2" width="12.44140625" style="1" customWidth="1"/>
    <col min="3" max="16384" width="11" style="1"/>
  </cols>
  <sheetData>
    <row r="1" spans="1:10" s="39" customFormat="1" ht="21" x14ac:dyDescent="0.4">
      <c r="A1" s="40" t="s">
        <v>56</v>
      </c>
      <c r="B1" s="39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1" t="s">
        <v>53</v>
      </c>
      <c r="B5" s="1" t="s">
        <v>177</v>
      </c>
    </row>
    <row r="6" spans="1:10" ht="409.6" x14ac:dyDescent="0.35">
      <c r="A6" s="41" t="s">
        <v>153</v>
      </c>
      <c r="B6" s="47" t="s">
        <v>178</v>
      </c>
    </row>
    <row r="7" spans="1:10" ht="18" x14ac:dyDescent="0.35">
      <c r="A7" s="41"/>
      <c r="B7" s="38"/>
    </row>
    <row r="9" spans="1:10" ht="23.4" x14ac:dyDescent="0.45">
      <c r="A9" s="17" t="s">
        <v>165</v>
      </c>
      <c r="I9" s="2"/>
      <c r="J9" s="2"/>
    </row>
    <row r="10" spans="1:10" x14ac:dyDescent="0.3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48">
        <v>20000</v>
      </c>
      <c r="C11" s="13" t="s">
        <v>5</v>
      </c>
      <c r="D11" s="49">
        <v>0</v>
      </c>
      <c r="E11" s="11" t="s">
        <v>6</v>
      </c>
      <c r="F11" s="5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0" x14ac:dyDescent="0.3">
      <c r="A16" s="7" t="s">
        <v>121</v>
      </c>
      <c r="B16" s="12" t="str" cm="1">
        <f t="array" ref="B16:B54">LEFT(A16:A54, 5)</f>
        <v>20000</v>
      </c>
      <c r="C16" s="1" t="str" cm="1">
        <f t="array" ref="C16:C54">MID(A16:A54, FIND("-",A16:A54) +1, FIND("-",A16:A54, FIND("-",A16:A54)+1) - FIND("-",A16:A54) -1)</f>
        <v>Monday</v>
      </c>
      <c r="D16" s="12" t="str" cm="1">
        <f t="array" ref="D16:D54">MID(A16:A54, FIND("-", A16:A54, FIND("-", A16:A54) + 1) + 1, FIND("-", A16:A54, FIND("-", A16:A54, FIND("-", A16:A54) + 1) + 1) - FIND("-", A16:A54, FIND("-", A16:A54) + 1) - 1)</f>
        <v>0</v>
      </c>
      <c r="E16" s="1" t="str" cm="1">
        <f t="array" ref="E16:E54">MID(A16:A54, FIND("-", A16:A54, FIND("-", A16:A54, FIND("-", A16:A54) + 1) + 1) + 1, FIND("-", A16:A54, FIND("-", A16:A54, FIND("-", A16:A54, FIND("-", A16:A54) + 1) + 1) + 1) - FIND("-", A16:A54, FIND("-", A16:A54, FIND("-", A16:A54) + 1) + 1) - 1)</f>
        <v>Sunday</v>
      </c>
      <c r="F16" s="12" t="str" cm="1">
        <f t="array" ref="F16:F54">RIGHT(A16:A54, LEN(A16:A54) - FIND("-", A16:A54, FIND("-", A16:A54, FIND("-", A16:A54, FIND("-", A16:A54) + 1) + 1) + 1))</f>
        <v>24</v>
      </c>
    </row>
    <row r="17" spans="1:6" x14ac:dyDescent="0.3">
      <c r="A17" s="7" t="s">
        <v>122</v>
      </c>
      <c r="B17" s="12" t="str">
        <v>20002</v>
      </c>
      <c r="C17" s="1" t="str">
        <v>Monday</v>
      </c>
      <c r="D17" s="12" t="str">
        <v>0</v>
      </c>
      <c r="E17" s="1" t="str">
        <v>Sunday</v>
      </c>
      <c r="F17" s="12" t="str">
        <v>24</v>
      </c>
    </row>
    <row r="18" spans="1:6" x14ac:dyDescent="0.3">
      <c r="A18" s="7" t="s">
        <v>123</v>
      </c>
      <c r="B18" s="12" t="str">
        <v>20004</v>
      </c>
      <c r="C18" s="1" t="str">
        <v>Monday</v>
      </c>
      <c r="D18" s="12" t="str">
        <v>0</v>
      </c>
      <c r="E18" s="1" t="str">
        <v>Sunday</v>
      </c>
      <c r="F18" s="12" t="str">
        <v>24</v>
      </c>
    </row>
    <row r="19" spans="1:6" x14ac:dyDescent="0.3">
      <c r="A19" s="7" t="s">
        <v>124</v>
      </c>
      <c r="B19" s="12" t="str">
        <v>20006</v>
      </c>
      <c r="C19" s="1" t="str">
        <v>Monday</v>
      </c>
      <c r="D19" s="12" t="str">
        <v>0</v>
      </c>
      <c r="E19" s="1" t="str">
        <v>Sunday</v>
      </c>
      <c r="F19" s="12" t="str">
        <v>24</v>
      </c>
    </row>
    <row r="20" spans="1:6" x14ac:dyDescent="0.3">
      <c r="A20" s="7" t="s">
        <v>125</v>
      </c>
      <c r="B20" s="12" t="str">
        <v>20008</v>
      </c>
      <c r="C20" s="1" t="str">
        <v>Monday</v>
      </c>
      <c r="D20" s="12" t="str">
        <v>0</v>
      </c>
      <c r="E20" s="1" t="str">
        <v>Sunday</v>
      </c>
      <c r="F20" s="12" t="str">
        <v>24</v>
      </c>
    </row>
    <row r="21" spans="1:6" x14ac:dyDescent="0.3">
      <c r="A21" s="7" t="s">
        <v>126</v>
      </c>
      <c r="B21" s="12" t="str">
        <v>20010</v>
      </c>
      <c r="C21" s="1" t="str">
        <v>Monday</v>
      </c>
      <c r="D21" s="12" t="str">
        <v>0</v>
      </c>
      <c r="E21" s="1" t="str">
        <v>Sunday</v>
      </c>
      <c r="F21" s="12" t="str">
        <v>24</v>
      </c>
    </row>
    <row r="22" spans="1:6" x14ac:dyDescent="0.3">
      <c r="A22" s="7" t="s">
        <v>127</v>
      </c>
      <c r="B22" s="12" t="str">
        <v>20012</v>
      </c>
      <c r="C22" s="1" t="str">
        <v>Monday</v>
      </c>
      <c r="D22" s="12" t="str">
        <v>0</v>
      </c>
      <c r="E22" s="1" t="str">
        <v>Sunday</v>
      </c>
      <c r="F22" s="12" t="str">
        <v>24</v>
      </c>
    </row>
    <row r="23" spans="1:6" x14ac:dyDescent="0.3">
      <c r="A23" s="7" t="s">
        <v>128</v>
      </c>
      <c r="B23" s="12" t="str">
        <v>20014</v>
      </c>
      <c r="C23" s="1" t="str">
        <v>Monday</v>
      </c>
      <c r="D23" s="12" t="str">
        <v>0</v>
      </c>
      <c r="E23" s="1" t="str">
        <v>Sunday</v>
      </c>
      <c r="F23" s="12" t="str">
        <v>24</v>
      </c>
    </row>
    <row r="24" spans="1:6" x14ac:dyDescent="0.3">
      <c r="A24" s="7" t="s">
        <v>129</v>
      </c>
      <c r="B24" s="12" t="str">
        <v>20016</v>
      </c>
      <c r="C24" s="1" t="str">
        <v>Monday</v>
      </c>
      <c r="D24" s="12" t="str">
        <v>0</v>
      </c>
      <c r="E24" s="1" t="str">
        <v>Sunday</v>
      </c>
      <c r="F24" s="12" t="str">
        <v>24</v>
      </c>
    </row>
    <row r="25" spans="1:6" x14ac:dyDescent="0.3">
      <c r="A25" s="7" t="s">
        <v>130</v>
      </c>
      <c r="B25" s="12" t="str">
        <v>20018</v>
      </c>
      <c r="C25" s="1" t="str">
        <v>Monday</v>
      </c>
      <c r="D25" s="12" t="str">
        <v>0</v>
      </c>
      <c r="E25" s="1" t="str">
        <v>Sunday</v>
      </c>
      <c r="F25" s="12" t="str">
        <v>24</v>
      </c>
    </row>
    <row r="26" spans="1:6" x14ac:dyDescent="0.3">
      <c r="A26" s="7" t="s">
        <v>131</v>
      </c>
      <c r="B26" s="12" t="str">
        <v>20020</v>
      </c>
      <c r="C26" s="1" t="str">
        <v>Monday</v>
      </c>
      <c r="D26" s="12" t="str">
        <v>0</v>
      </c>
      <c r="E26" s="1" t="str">
        <v>Sunday</v>
      </c>
      <c r="F26" s="12" t="str">
        <v>24</v>
      </c>
    </row>
    <row r="27" spans="1:6" x14ac:dyDescent="0.3">
      <c r="A27" s="7" t="s">
        <v>132</v>
      </c>
      <c r="B27" s="12" t="str">
        <v>20022</v>
      </c>
      <c r="C27" s="1" t="str">
        <v>Monday</v>
      </c>
      <c r="D27" s="12" t="str">
        <v>0</v>
      </c>
      <c r="E27" s="1" t="str">
        <v>Sunday</v>
      </c>
      <c r="F27" s="12" t="str">
        <v>24</v>
      </c>
    </row>
    <row r="28" spans="1:6" x14ac:dyDescent="0.3">
      <c r="A28" s="7" t="s">
        <v>133</v>
      </c>
      <c r="B28" s="12" t="str">
        <v>20024</v>
      </c>
      <c r="C28" s="1" t="str">
        <v>Monday</v>
      </c>
      <c r="D28" s="12" t="str">
        <v>0</v>
      </c>
      <c r="E28" s="1" t="str">
        <v>Sunday</v>
      </c>
      <c r="F28" s="12" t="str">
        <v>24</v>
      </c>
    </row>
    <row r="29" spans="1:6" x14ac:dyDescent="0.3">
      <c r="A29" s="7" t="s">
        <v>134</v>
      </c>
      <c r="B29" s="12" t="str">
        <v>20026</v>
      </c>
      <c r="C29" s="1" t="str">
        <v>Monday</v>
      </c>
      <c r="D29" s="12" t="str">
        <v>0</v>
      </c>
      <c r="E29" s="1" t="str">
        <v>Sunday</v>
      </c>
      <c r="F29" s="12" t="str">
        <v>24</v>
      </c>
    </row>
    <row r="30" spans="1:6" x14ac:dyDescent="0.3">
      <c r="A30" s="7" t="s">
        <v>135</v>
      </c>
      <c r="B30" s="12" t="str">
        <v>20028</v>
      </c>
      <c r="C30" s="1" t="str">
        <v>Monday</v>
      </c>
      <c r="D30" s="12" t="str">
        <v>0</v>
      </c>
      <c r="E30" s="1" t="str">
        <v>Sunday</v>
      </c>
      <c r="F30" s="12" t="str">
        <v>24</v>
      </c>
    </row>
    <row r="31" spans="1:6" x14ac:dyDescent="0.3">
      <c r="A31" s="7" t="s">
        <v>136</v>
      </c>
      <c r="B31" s="12" t="str">
        <v>20030</v>
      </c>
      <c r="C31" s="1" t="str">
        <v>Monday</v>
      </c>
      <c r="D31" s="12" t="str">
        <v>0</v>
      </c>
      <c r="E31" s="1" t="str">
        <v>Sunday</v>
      </c>
      <c r="F31" s="12" t="str">
        <v>24</v>
      </c>
    </row>
    <row r="32" spans="1:6" x14ac:dyDescent="0.3">
      <c r="A32" s="7" t="s">
        <v>137</v>
      </c>
      <c r="B32" s="12" t="str">
        <v>20032</v>
      </c>
      <c r="C32" s="1" t="str">
        <v>Monday</v>
      </c>
      <c r="D32" s="12" t="str">
        <v>0</v>
      </c>
      <c r="E32" s="1" t="str">
        <v>Sunday</v>
      </c>
      <c r="F32" s="12" t="str">
        <v>24</v>
      </c>
    </row>
    <row r="33" spans="1:6" x14ac:dyDescent="0.3">
      <c r="A33" s="7" t="s">
        <v>138</v>
      </c>
      <c r="B33" s="12" t="str">
        <v>20034</v>
      </c>
      <c r="C33" s="1" t="str">
        <v>Monday</v>
      </c>
      <c r="D33" s="12" t="str">
        <v>0</v>
      </c>
      <c r="E33" s="1" t="str">
        <v>Sunday</v>
      </c>
      <c r="F33" s="12" t="str">
        <v>24</v>
      </c>
    </row>
    <row r="34" spans="1:6" x14ac:dyDescent="0.3">
      <c r="A34" s="7" t="s">
        <v>139</v>
      </c>
      <c r="B34" s="12" t="str">
        <v>20036</v>
      </c>
      <c r="C34" s="1" t="str">
        <v>Monday</v>
      </c>
      <c r="D34" s="12" t="str">
        <v>0</v>
      </c>
      <c r="E34" s="1" t="str">
        <v>Sunday</v>
      </c>
      <c r="F34" s="12" t="str">
        <v>24</v>
      </c>
    </row>
    <row r="35" spans="1:6" x14ac:dyDescent="0.3">
      <c r="A35" s="7" t="s">
        <v>140</v>
      </c>
      <c r="B35" s="12" t="str">
        <v>20038</v>
      </c>
      <c r="C35" s="1" t="str">
        <v>Monday</v>
      </c>
      <c r="D35" s="12" t="str">
        <v>0</v>
      </c>
      <c r="E35" s="1" t="str">
        <v>Sunday</v>
      </c>
      <c r="F35" s="12" t="str">
        <v>24</v>
      </c>
    </row>
    <row r="36" spans="1:6" x14ac:dyDescent="0.3">
      <c r="A36" s="7" t="s">
        <v>141</v>
      </c>
      <c r="B36" s="12" t="str">
        <v>20040</v>
      </c>
      <c r="C36" s="1" t="str">
        <v>Monday</v>
      </c>
      <c r="D36" s="12" t="str">
        <v>0</v>
      </c>
      <c r="E36" s="1" t="str">
        <v>Sunday</v>
      </c>
      <c r="F36" s="12" t="str">
        <v>24</v>
      </c>
    </row>
    <row r="37" spans="1:6" x14ac:dyDescent="0.3">
      <c r="A37" s="7" t="s">
        <v>142</v>
      </c>
      <c r="B37" s="12" t="str">
        <v>20042</v>
      </c>
      <c r="C37" s="1" t="str">
        <v>Monday</v>
      </c>
      <c r="D37" s="12" t="str">
        <v>0</v>
      </c>
      <c r="E37" s="1" t="str">
        <v>Sunday</v>
      </c>
      <c r="F37" s="12" t="str">
        <v>24</v>
      </c>
    </row>
    <row r="38" spans="1:6" x14ac:dyDescent="0.3">
      <c r="A38" s="7" t="s">
        <v>143</v>
      </c>
      <c r="B38" s="12" t="str">
        <v>20044</v>
      </c>
      <c r="C38" s="1" t="str">
        <v>Monday</v>
      </c>
      <c r="D38" s="12" t="str">
        <v>0</v>
      </c>
      <c r="E38" s="1" t="str">
        <v>Sunday</v>
      </c>
      <c r="F38" s="12" t="str">
        <v>24</v>
      </c>
    </row>
    <row r="39" spans="1:6" x14ac:dyDescent="0.3">
      <c r="A39" s="7" t="s">
        <v>144</v>
      </c>
      <c r="B39" s="12" t="str">
        <v>20046</v>
      </c>
      <c r="C39" s="1" t="str">
        <v>Monday</v>
      </c>
      <c r="D39" s="12" t="str">
        <v>0</v>
      </c>
      <c r="E39" s="1" t="str">
        <v>Sunday</v>
      </c>
      <c r="F39" s="12" t="str">
        <v>24</v>
      </c>
    </row>
    <row r="40" spans="1:6" x14ac:dyDescent="0.3">
      <c r="A40" s="7" t="s">
        <v>145</v>
      </c>
      <c r="B40" s="12" t="str">
        <v>20048</v>
      </c>
      <c r="C40" s="1" t="str">
        <v>Monday</v>
      </c>
      <c r="D40" s="12" t="str">
        <v>0</v>
      </c>
      <c r="E40" s="1" t="str">
        <v>Sunday</v>
      </c>
      <c r="F40" s="12" t="str">
        <v>24</v>
      </c>
    </row>
    <row r="41" spans="1:6" x14ac:dyDescent="0.3">
      <c r="A41" s="7" t="s">
        <v>146</v>
      </c>
      <c r="B41" s="12" t="str">
        <v>20050</v>
      </c>
      <c r="C41" s="1" t="str">
        <v>Monday</v>
      </c>
      <c r="D41" s="12" t="str">
        <v>0</v>
      </c>
      <c r="E41" s="1" t="str">
        <v>Sunday</v>
      </c>
      <c r="F41" s="12" t="str">
        <v>24</v>
      </c>
    </row>
    <row r="42" spans="1:6" x14ac:dyDescent="0.3">
      <c r="A42" s="7" t="s">
        <v>147</v>
      </c>
      <c r="B42" s="12" t="str">
        <v>20052</v>
      </c>
      <c r="C42" s="1" t="str">
        <v>Monday</v>
      </c>
      <c r="D42" s="12" t="str">
        <v>0</v>
      </c>
      <c r="E42" s="1" t="str">
        <v>Sunday</v>
      </c>
      <c r="F42" s="12" t="str">
        <v>24</v>
      </c>
    </row>
    <row r="43" spans="1:6" x14ac:dyDescent="0.3">
      <c r="A43" s="7" t="s">
        <v>148</v>
      </c>
      <c r="B43" s="12" t="str">
        <v>20054</v>
      </c>
      <c r="C43" s="1" t="str">
        <v>Monday</v>
      </c>
      <c r="D43" s="12" t="str">
        <v>0</v>
      </c>
      <c r="E43" s="1" t="str">
        <v>Sunday</v>
      </c>
      <c r="F43" s="12" t="str">
        <v>24</v>
      </c>
    </row>
    <row r="44" spans="1:6" x14ac:dyDescent="0.3">
      <c r="A44" s="7" t="s">
        <v>149</v>
      </c>
      <c r="B44" s="12" t="str">
        <v>20058</v>
      </c>
      <c r="C44" s="1" t="str">
        <v>Monday</v>
      </c>
      <c r="D44" s="12" t="str">
        <v>0</v>
      </c>
      <c r="E44" s="1" t="str">
        <v>Sunday</v>
      </c>
      <c r="F44" s="12" t="str">
        <v>24</v>
      </c>
    </row>
    <row r="45" spans="1:6" x14ac:dyDescent="0.3">
      <c r="A45" s="7" t="s">
        <v>150</v>
      </c>
      <c r="B45" s="12" t="str">
        <v>20060</v>
      </c>
      <c r="C45" s="1" t="str">
        <v>Monday</v>
      </c>
      <c r="D45" s="12" t="str">
        <v>0</v>
      </c>
      <c r="E45" s="1" t="str">
        <v>Sunday</v>
      </c>
      <c r="F45" s="12" t="str">
        <v>24</v>
      </c>
    </row>
    <row r="46" spans="1:6" x14ac:dyDescent="0.3">
      <c r="A46" s="7" t="s">
        <v>112</v>
      </c>
      <c r="B46" s="12" t="str">
        <v>21000</v>
      </c>
      <c r="C46" s="1" t="str">
        <v>Monday</v>
      </c>
      <c r="D46" s="12" t="str">
        <v>0</v>
      </c>
      <c r="E46" s="1" t="str">
        <v>Sunday</v>
      </c>
      <c r="F46" s="12" t="str">
        <v>24</v>
      </c>
    </row>
    <row r="47" spans="1:6" x14ac:dyDescent="0.3">
      <c r="A47" s="7" t="s">
        <v>113</v>
      </c>
      <c r="B47" s="12" t="str">
        <v>21002</v>
      </c>
      <c r="C47" s="1" t="str">
        <v>Monday</v>
      </c>
      <c r="D47" s="12" t="str">
        <v>0</v>
      </c>
      <c r="E47" s="1" t="str">
        <v>Sunday</v>
      </c>
      <c r="F47" s="12" t="str">
        <v>24</v>
      </c>
    </row>
    <row r="48" spans="1:6" x14ac:dyDescent="0.3">
      <c r="A48" s="7" t="s">
        <v>114</v>
      </c>
      <c r="B48" s="12" t="str">
        <v>21004</v>
      </c>
      <c r="C48" s="1" t="str">
        <v>Monday</v>
      </c>
      <c r="D48" s="12" t="str">
        <v>0</v>
      </c>
      <c r="E48" s="1" t="str">
        <v>Sunday</v>
      </c>
      <c r="F48" s="12" t="str">
        <v>24</v>
      </c>
    </row>
    <row r="49" spans="1:6" x14ac:dyDescent="0.3">
      <c r="A49" s="7" t="s">
        <v>115</v>
      </c>
      <c r="B49" s="12" t="str">
        <v>21006</v>
      </c>
      <c r="C49" s="1" t="str">
        <v>Monday</v>
      </c>
      <c r="D49" s="12" t="str">
        <v>0</v>
      </c>
      <c r="E49" s="1" t="str">
        <v>Sunday</v>
      </c>
      <c r="F49" s="12" t="str">
        <v>24</v>
      </c>
    </row>
    <row r="50" spans="1:6" x14ac:dyDescent="0.3">
      <c r="A50" s="7" t="s">
        <v>116</v>
      </c>
      <c r="B50" s="12" t="str">
        <v>21008</v>
      </c>
      <c r="C50" s="1" t="str">
        <v>Monday</v>
      </c>
      <c r="D50" s="12" t="str">
        <v>0</v>
      </c>
      <c r="E50" s="1" t="str">
        <v>Sunday</v>
      </c>
      <c r="F50" s="12" t="str">
        <v>24</v>
      </c>
    </row>
    <row r="51" spans="1:6" x14ac:dyDescent="0.3">
      <c r="A51" s="7" t="s">
        <v>117</v>
      </c>
      <c r="B51" s="12" t="str">
        <v>21010</v>
      </c>
      <c r="C51" s="1" t="str">
        <v>Monday</v>
      </c>
      <c r="D51" s="12" t="str">
        <v>0</v>
      </c>
      <c r="E51" s="1" t="str">
        <v>Sunday</v>
      </c>
      <c r="F51" s="12" t="str">
        <v>24</v>
      </c>
    </row>
    <row r="52" spans="1:6" x14ac:dyDescent="0.3">
      <c r="A52" s="7" t="s">
        <v>118</v>
      </c>
      <c r="B52" s="12" t="str">
        <v>21012</v>
      </c>
      <c r="C52" s="1" t="str">
        <v>Monday</v>
      </c>
      <c r="D52" s="12" t="str">
        <v>0</v>
      </c>
      <c r="E52" s="1" t="str">
        <v>Sunday</v>
      </c>
      <c r="F52" s="12" t="str">
        <v>24</v>
      </c>
    </row>
    <row r="53" spans="1:6" x14ac:dyDescent="0.3">
      <c r="A53" s="7" t="s">
        <v>119</v>
      </c>
      <c r="B53" s="12" t="str">
        <v>21014</v>
      </c>
      <c r="C53" s="1" t="str">
        <v>Monday</v>
      </c>
      <c r="D53" s="12" t="str">
        <v>0</v>
      </c>
      <c r="E53" s="1" t="str">
        <v>Sunday</v>
      </c>
      <c r="F53" s="12" t="str">
        <v>24</v>
      </c>
    </row>
    <row r="54" spans="1:6" x14ac:dyDescent="0.3">
      <c r="A54" s="9" t="s">
        <v>120</v>
      </c>
      <c r="B54" s="13" t="str">
        <v>21016</v>
      </c>
      <c r="C54" s="10" t="str">
        <v>Monday</v>
      </c>
      <c r="D54" s="13" t="str">
        <v>0</v>
      </c>
      <c r="E54" s="10" t="str">
        <v>Sunday</v>
      </c>
      <c r="F54" s="13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2" sqref="C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85</v>
      </c>
      <c r="B1" s="39" t="s">
        <v>167</v>
      </c>
    </row>
    <row r="2" spans="1:3" ht="18" x14ac:dyDescent="0.35">
      <c r="B2" s="38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179</v>
      </c>
    </row>
    <row r="7" spans="1:3" ht="15" x14ac:dyDescent="0.35">
      <c r="A7" s="3" t="s">
        <v>153</v>
      </c>
      <c r="B7" s="51" t="s">
        <v>180</v>
      </c>
    </row>
    <row r="10" spans="1:3" ht="23.4" x14ac:dyDescent="0.45">
      <c r="A10" s="17" t="s">
        <v>162</v>
      </c>
    </row>
    <row r="11" spans="1:3" ht="14.4" x14ac:dyDescent="0.3">
      <c r="A11" s="30" t="s">
        <v>86</v>
      </c>
      <c r="B11" s="16" t="s">
        <v>87</v>
      </c>
      <c r="C11" s="16" t="s">
        <v>88</v>
      </c>
    </row>
    <row r="12" spans="1:3" ht="14.4" x14ac:dyDescent="0.3">
      <c r="A12" s="30">
        <v>44927</v>
      </c>
      <c r="B12" s="16" t="s">
        <v>59</v>
      </c>
      <c r="C12" s="16">
        <v>200</v>
      </c>
    </row>
    <row r="13" spans="1:3" ht="14.4" x14ac:dyDescent="0.3">
      <c r="A13" s="30">
        <v>44928</v>
      </c>
      <c r="B13" s="16" t="s">
        <v>60</v>
      </c>
      <c r="C13" s="16" t="e">
        <v>#N/A</v>
      </c>
    </row>
    <row r="14" spans="1:3" ht="14.4" x14ac:dyDescent="0.3">
      <c r="A14" s="30">
        <v>44929</v>
      </c>
      <c r="B14" s="16" t="s">
        <v>61</v>
      </c>
      <c r="C14" s="16">
        <v>50</v>
      </c>
    </row>
    <row r="15" spans="1:3" ht="14.4" x14ac:dyDescent="0.3">
      <c r="A15" s="30">
        <v>44930</v>
      </c>
      <c r="B15" s="16" t="s">
        <v>62</v>
      </c>
      <c r="C15" s="16" t="e">
        <v>#N/A</v>
      </c>
    </row>
    <row r="16" spans="1:3" ht="14.4" x14ac:dyDescent="0.3">
      <c r="A16" s="30">
        <v>44931</v>
      </c>
      <c r="B16" s="16" t="s">
        <v>63</v>
      </c>
      <c r="C16" s="16">
        <v>10</v>
      </c>
    </row>
    <row r="17" spans="1:3" ht="14.4" x14ac:dyDescent="0.3">
      <c r="A17" s="30">
        <v>44932</v>
      </c>
      <c r="B17" s="16" t="s">
        <v>154</v>
      </c>
      <c r="C17" s="16">
        <v>150</v>
      </c>
    </row>
    <row r="18" spans="1:3" ht="14.4" x14ac:dyDescent="0.3">
      <c r="A18" s="30">
        <v>44933</v>
      </c>
      <c r="B18" s="16" t="s">
        <v>155</v>
      </c>
      <c r="C18" s="16">
        <v>80</v>
      </c>
    </row>
    <row r="19" spans="1:3" ht="14.4" x14ac:dyDescent="0.3">
      <c r="A19" s="30">
        <v>44934</v>
      </c>
      <c r="B19" s="16" t="s">
        <v>156</v>
      </c>
      <c r="C19" s="16" t="e">
        <v>#N/A</v>
      </c>
    </row>
    <row r="20" spans="1:3" ht="14.4" x14ac:dyDescent="0.3">
      <c r="A20" s="30">
        <v>44935</v>
      </c>
      <c r="B20" s="16" t="s">
        <v>157</v>
      </c>
      <c r="C20" s="16">
        <v>30</v>
      </c>
    </row>
    <row r="21" spans="1:3" ht="14.4" x14ac:dyDescent="0.3">
      <c r="A21" s="30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16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F21" sqref="F21"/>
    </sheetView>
  </sheetViews>
  <sheetFormatPr defaultColWidth="11" defaultRowHeight="13.8" x14ac:dyDescent="0.3"/>
  <cols>
    <col min="1" max="1" width="28.21875" style="24" bestFit="1" customWidth="1"/>
    <col min="2" max="16384" width="11" style="24"/>
  </cols>
  <sheetData>
    <row r="1" spans="1:14" ht="21" x14ac:dyDescent="0.4">
      <c r="A1" s="52" t="s">
        <v>98</v>
      </c>
      <c r="B1" s="53" t="s">
        <v>175</v>
      </c>
    </row>
    <row r="3" spans="1:14" ht="14.4" x14ac:dyDescent="0.3">
      <c r="B3" s="16" t="s">
        <v>151</v>
      </c>
    </row>
    <row r="4" spans="1:14" ht="18" x14ac:dyDescent="0.35">
      <c r="A4" s="37" t="s">
        <v>53</v>
      </c>
      <c r="B4" s="16"/>
    </row>
    <row r="5" spans="1:14" ht="18" x14ac:dyDescent="0.35">
      <c r="A5" s="37" t="s">
        <v>153</v>
      </c>
      <c r="B5" s="16" t="s">
        <v>182</v>
      </c>
    </row>
    <row r="6" spans="1:14" ht="14.4" x14ac:dyDescent="0.3">
      <c r="A6" s="18"/>
      <c r="B6" s="16"/>
    </row>
    <row r="8" spans="1:14" ht="23.4" x14ac:dyDescent="0.45">
      <c r="A8" s="54" t="s">
        <v>162</v>
      </c>
      <c r="M8" s="54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6">
        <v>10100</v>
      </c>
      <c r="N10" s="16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6">
        <v>10102</v>
      </c>
      <c r="N11" s="16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6">
        <v>10104</v>
      </c>
      <c r="N12" s="16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6">
        <v>10106</v>
      </c>
      <c r="N13" s="16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6">
        <v>10108</v>
      </c>
      <c r="N14" s="16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6">
        <v>10110</v>
      </c>
      <c r="N15" s="16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6">
        <v>10112</v>
      </c>
      <c r="N16" s="16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6">
        <v>10114</v>
      </c>
      <c r="N17" s="16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6">
        <v>10116</v>
      </c>
      <c r="N18" s="16" t="s">
        <v>97</v>
      </c>
    </row>
    <row r="21" spans="1:14" ht="23.4" x14ac:dyDescent="0.45">
      <c r="A21" s="54" t="s">
        <v>168</v>
      </c>
    </row>
    <row r="22" spans="1:14" ht="14.4" x14ac:dyDescent="0.3">
      <c r="A22" s="16" t="s">
        <v>100</v>
      </c>
      <c r="B22" s="16" t="s">
        <v>101</v>
      </c>
      <c r="C22" s="16" t="s">
        <v>181</v>
      </c>
    </row>
    <row r="23" spans="1:14" ht="14.4" x14ac:dyDescent="0.3">
      <c r="A23" s="16">
        <v>10100</v>
      </c>
      <c r="B23" s="16">
        <v>10102</v>
      </c>
      <c r="C23" s="24">
        <v>95</v>
      </c>
    </row>
    <row r="24" spans="1:14" ht="14.4" x14ac:dyDescent="0.3">
      <c r="A24" s="16">
        <v>10100</v>
      </c>
      <c r="B24" s="16">
        <v>10104</v>
      </c>
      <c r="C24" s="24">
        <v>-1</v>
      </c>
    </row>
    <row r="25" spans="1:14" ht="14.4" x14ac:dyDescent="0.3">
      <c r="A25" s="16">
        <v>10108</v>
      </c>
      <c r="B25" s="16">
        <v>10102</v>
      </c>
      <c r="C25" s="24">
        <v>160</v>
      </c>
    </row>
    <row r="26" spans="1:14" ht="14.4" x14ac:dyDescent="0.3">
      <c r="A26" s="16">
        <v>10100</v>
      </c>
      <c r="B26" s="16">
        <v>10106</v>
      </c>
      <c r="C26" s="24">
        <v>185</v>
      </c>
    </row>
    <row r="27" spans="1:14" ht="14.4" x14ac:dyDescent="0.3">
      <c r="A27" s="16">
        <v>10108</v>
      </c>
      <c r="B27" s="16">
        <v>10110</v>
      </c>
      <c r="C27" s="24">
        <v>220</v>
      </c>
    </row>
    <row r="28" spans="1:14" ht="14.4" x14ac:dyDescent="0.3">
      <c r="A28" s="16">
        <v>10102</v>
      </c>
      <c r="B28" s="16">
        <v>10104</v>
      </c>
      <c r="C28" s="24">
        <v>-1</v>
      </c>
    </row>
    <row r="29" spans="1:14" ht="14.4" x14ac:dyDescent="0.3">
      <c r="A29" s="16">
        <v>10106</v>
      </c>
      <c r="B29" s="16">
        <v>10108</v>
      </c>
      <c r="C29" s="24">
        <v>70</v>
      </c>
    </row>
    <row r="30" spans="1:14" ht="14.4" x14ac:dyDescent="0.3">
      <c r="A30" s="16">
        <v>10102</v>
      </c>
      <c r="B30" s="16">
        <v>10106</v>
      </c>
      <c r="C30" s="24">
        <v>90</v>
      </c>
    </row>
    <row r="31" spans="1:14" ht="14.4" x14ac:dyDescent="0.3">
      <c r="A31" s="16">
        <v>10110</v>
      </c>
      <c r="B31" s="16">
        <v>10114</v>
      </c>
      <c r="C31" s="24">
        <v>180</v>
      </c>
    </row>
    <row r="32" spans="1:14" ht="14.4" x14ac:dyDescent="0.3">
      <c r="A32" s="16">
        <v>10104</v>
      </c>
      <c r="B32" s="16">
        <v>10106</v>
      </c>
      <c r="C32" s="24">
        <v>60</v>
      </c>
    </row>
    <row r="33" spans="1:3" ht="14.4" x14ac:dyDescent="0.3">
      <c r="A33" s="16">
        <v>10110</v>
      </c>
      <c r="B33" s="16">
        <v>10112</v>
      </c>
      <c r="C33" s="24">
        <v>115</v>
      </c>
    </row>
    <row r="34" spans="1:3" ht="14.4" x14ac:dyDescent="0.3">
      <c r="A34" s="16">
        <v>10100</v>
      </c>
      <c r="B34" s="16">
        <v>10114</v>
      </c>
      <c r="C34" s="24">
        <v>415</v>
      </c>
    </row>
    <row r="35" spans="1:3" ht="14.4" x14ac:dyDescent="0.3">
      <c r="A35" s="16">
        <v>10112</v>
      </c>
      <c r="B35" s="16">
        <v>10116</v>
      </c>
      <c r="C35" s="24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Manashree Agarkar</cp:lastModifiedBy>
  <dcterms:created xsi:type="dcterms:W3CDTF">2015-02-10T17:33:11Z</dcterms:created>
  <dcterms:modified xsi:type="dcterms:W3CDTF">2023-12-10T15:15:18Z</dcterms:modified>
</cp:coreProperties>
</file>